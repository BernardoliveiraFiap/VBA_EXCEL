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officeresolve.sharepoint.com/sites/ContedosAlura/Documentos Compartilhados/03 - Excel VBA para não Programadores/2082 - Excel VBA1/Materiais/"/>
    </mc:Choice>
  </mc:AlternateContent>
  <xr:revisionPtr revIDLastSave="5" documentId="8_{717EF0F6-43CC-4F6A-A143-188656303334}" xr6:coauthVersionLast="46" xr6:coauthVersionMax="46" xr10:uidLastSave="{818101F9-2C22-4701-8E9A-4F0782AD0D8C}"/>
  <bookViews>
    <workbookView xWindow="-20520" yWindow="-120" windowWidth="20640" windowHeight="11160" xr2:uid="{C1B61AA5-C757-4C13-B5B2-E36863709022}"/>
  </bookViews>
  <sheets>
    <sheet name="Produtos Infantis" sheetId="1" r:id="rId1"/>
    <sheet name="Dados" sheetId="8" r:id="rId2"/>
  </sheets>
  <functionGroups builtInGroupCount="19"/>
  <definedNames>
    <definedName name="_xlnm._FilterDatabase" localSheetId="0" hidden="1">'Produtos Infantis'!$A$2:$H$125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3" i="1" l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E124" i="1" a="1"/>
  <c r="F16" i="1" a="1"/>
  <c r="F82" i="1" a="1"/>
  <c r="F22" i="1" a="1"/>
  <c r="F62" i="1" a="1"/>
  <c r="F117" i="1" a="1"/>
  <c r="F42" i="1" a="1"/>
  <c r="F32" i="1" a="1"/>
  <c r="F60" i="1" a="1"/>
  <c r="F30" i="1" a="1"/>
  <c r="F76" i="1" a="1"/>
  <c r="F69" i="1" a="1"/>
  <c r="F28" i="1" a="1"/>
  <c r="F56" i="1" a="1"/>
  <c r="F48" i="1" a="1"/>
  <c r="F79" i="1" a="1"/>
  <c r="F68" i="1" a="1"/>
  <c r="F105" i="1" a="1"/>
  <c r="F67" i="1" a="1"/>
  <c r="F51" i="1" a="1"/>
  <c r="F93" i="1" a="1"/>
  <c r="F74" i="1" a="1"/>
  <c r="F11" i="1" a="1"/>
  <c r="F8" i="1" a="1"/>
  <c r="F52" i="1" a="1"/>
  <c r="F96" i="1" a="1"/>
  <c r="F14" i="1" a="1"/>
  <c r="F81" i="1" a="1"/>
  <c r="F110" i="1" a="1"/>
  <c r="F106" i="1" a="1"/>
  <c r="F113" i="1" a="1"/>
  <c r="F49" i="1" a="1"/>
  <c r="F91" i="1" a="1"/>
  <c r="F15" i="1" a="1"/>
  <c r="F61" i="1" a="1"/>
  <c r="F107" i="1" a="1"/>
  <c r="F23" i="1" a="1"/>
  <c r="F95" i="1" a="1"/>
  <c r="F5" i="1" a="1"/>
  <c r="F18" i="1" a="1"/>
  <c r="F57" i="1" a="1"/>
  <c r="F20" i="1" a="1"/>
  <c r="F109" i="1" a="1"/>
  <c r="F111" i="1" a="1"/>
  <c r="F104" i="1" a="1"/>
  <c r="F72" i="1" a="1"/>
  <c r="F65" i="1" a="1"/>
  <c r="F31" i="1" a="1"/>
  <c r="F118" i="1" a="1"/>
  <c r="F71" i="1" a="1"/>
  <c r="F12" i="1" a="1"/>
  <c r="F86" i="1" a="1"/>
  <c r="F121" i="1" a="1"/>
  <c r="F33" i="1" a="1"/>
  <c r="F59" i="1" a="1"/>
  <c r="F39" i="1" a="1"/>
  <c r="F44" i="1" a="1"/>
  <c r="F73" i="1" a="1"/>
  <c r="F37" i="1" a="1"/>
  <c r="F84" i="1" a="1"/>
  <c r="F100" i="1" a="1"/>
  <c r="F108" i="1" a="1"/>
  <c r="F119" i="1" a="1"/>
  <c r="F54" i="1" a="1"/>
  <c r="F90" i="1" a="1"/>
  <c r="F99" i="1" a="1"/>
  <c r="F55" i="1" a="1"/>
  <c r="F27" i="1" a="1"/>
  <c r="F116" i="1" a="1"/>
  <c r="F40" i="1" a="1"/>
  <c r="F77" i="1" a="1"/>
  <c r="F112" i="1" a="1"/>
  <c r="F25" i="1" a="1"/>
  <c r="F47" i="1" a="1"/>
  <c r="F63" i="1" a="1"/>
  <c r="F53" i="1" a="1"/>
  <c r="F114" i="1" a="1"/>
  <c r="F9" i="1" a="1"/>
  <c r="F50" i="1" a="1"/>
  <c r="F36" i="1" a="1"/>
  <c r="F38" i="1" a="1"/>
  <c r="F87" i="1" a="1"/>
  <c r="F26" i="1" a="1"/>
  <c r="F21" i="1" a="1"/>
  <c r="F88" i="1" a="1"/>
  <c r="F98" i="1" a="1"/>
  <c r="F75" i="1" a="1"/>
  <c r="F4" i="1" a="1"/>
  <c r="F122" i="1" a="1"/>
  <c r="F66" i="1" a="1"/>
  <c r="F6" i="1" a="1"/>
  <c r="F103" i="1" a="1"/>
  <c r="F115" i="1" a="1"/>
  <c r="F64" i="1" a="1"/>
  <c r="F35" i="1" a="1"/>
  <c r="F3" i="1" a="1"/>
  <c r="F102" i="1" a="1"/>
  <c r="F13" i="1" a="1"/>
  <c r="F43" i="1" a="1"/>
  <c r="F46" i="1" a="1"/>
  <c r="F45" i="1" a="1"/>
  <c r="F41" i="1" a="1"/>
  <c r="F85" i="1" a="1"/>
  <c r="F80" i="1" a="1"/>
  <c r="F92" i="1" a="1"/>
  <c r="H3" i="1" a="1"/>
  <c r="F19" i="1" a="1"/>
  <c r="F120" i="1" a="1"/>
  <c r="F34" i="1" a="1"/>
  <c r="F58" i="1" a="1"/>
  <c r="F10" i="1" a="1"/>
  <c r="F94" i="1" a="1"/>
  <c r="F70" i="1" a="1"/>
  <c r="F97" i="1" a="1"/>
  <c r="F7" i="1" a="1"/>
  <c r="F78" i="1" a="1"/>
  <c r="F101" i="1" a="1"/>
  <c r="F24" i="1" a="1"/>
  <c r="F17" i="1" a="1"/>
  <c r="F89" i="1" a="1"/>
  <c r="F29" i="1" a="1"/>
  <c r="F83" i="1" a="1"/>
  <c r="E124" i="1" l="1"/>
  <c r="F3" i="1"/>
  <c r="F58" i="1"/>
  <c r="F57" i="1"/>
  <c r="F56" i="1"/>
  <c r="F55" i="1"/>
  <c r="F54" i="1"/>
  <c r="F53" i="1"/>
  <c r="F52" i="1"/>
  <c r="F51" i="1"/>
  <c r="F50" i="1"/>
  <c r="F49" i="1"/>
  <c r="F48" i="1"/>
  <c r="F47" i="1"/>
  <c r="F46" i="1"/>
  <c r="F45" i="1"/>
  <c r="F44" i="1"/>
  <c r="F43" i="1"/>
  <c r="F42" i="1"/>
  <c r="F41" i="1"/>
  <c r="F40" i="1"/>
  <c r="F39" i="1"/>
  <c r="F38" i="1"/>
  <c r="F37" i="1"/>
  <c r="F36" i="1"/>
  <c r="F35" i="1"/>
  <c r="F34" i="1"/>
  <c r="F33" i="1"/>
  <c r="F32" i="1"/>
  <c r="F31" i="1"/>
  <c r="F30" i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F4" i="1"/>
  <c r="F121" i="1"/>
  <c r="F109" i="1"/>
  <c r="F93" i="1"/>
  <c r="F81" i="1"/>
  <c r="F69" i="1"/>
  <c r="F61" i="1"/>
  <c r="F120" i="1"/>
  <c r="F112" i="1"/>
  <c r="F100" i="1"/>
  <c r="F88" i="1"/>
  <c r="F80" i="1"/>
  <c r="F68" i="1"/>
  <c r="F64" i="1"/>
  <c r="F115" i="1"/>
  <c r="F111" i="1"/>
  <c r="F107" i="1"/>
  <c r="F103" i="1"/>
  <c r="F99" i="1"/>
  <c r="F91" i="1"/>
  <c r="F87" i="1"/>
  <c r="F83" i="1"/>
  <c r="F79" i="1"/>
  <c r="F75" i="1"/>
  <c r="F71" i="1"/>
  <c r="F67" i="1"/>
  <c r="F63" i="1"/>
  <c r="F59" i="1"/>
  <c r="F105" i="1"/>
  <c r="F89" i="1"/>
  <c r="F73" i="1"/>
  <c r="F116" i="1"/>
  <c r="F104" i="1"/>
  <c r="F92" i="1"/>
  <c r="F84" i="1"/>
  <c r="F72" i="1"/>
  <c r="F60" i="1"/>
  <c r="F119" i="1"/>
  <c r="F122" i="1"/>
  <c r="F118" i="1"/>
  <c r="F114" i="1"/>
  <c r="F110" i="1"/>
  <c r="F106" i="1"/>
  <c r="F102" i="1"/>
  <c r="F98" i="1"/>
  <c r="F94" i="1"/>
  <c r="F90" i="1"/>
  <c r="F86" i="1"/>
  <c r="F82" i="1"/>
  <c r="F78" i="1"/>
  <c r="F74" i="1"/>
  <c r="F70" i="1"/>
  <c r="F66" i="1"/>
  <c r="F62" i="1"/>
  <c r="F113" i="1"/>
  <c r="F97" i="1"/>
  <c r="F77" i="1"/>
  <c r="F65" i="1"/>
  <c r="F117" i="1"/>
  <c r="F101" i="1"/>
  <c r="F85" i="1"/>
  <c r="F108" i="1"/>
  <c r="F96" i="1"/>
  <c r="F76" i="1"/>
  <c r="F95" i="1"/>
  <c r="H3" i="1"/>
  <c r="B2" i="8"/>
  <c r="B3" i="8"/>
  <c r="B4" i="8"/>
  <c r="B5" i="8"/>
  <c r="B6" i="8"/>
  <c r="B7" i="8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 a="1"/>
  <c r="H89" i="1" a="1"/>
  <c r="H23" i="1" a="1"/>
  <c r="H43" i="1" a="1"/>
  <c r="H60" i="1" a="1"/>
  <c r="H25" i="1" a="1"/>
  <c r="H14" i="1" a="1"/>
  <c r="H35" i="1" a="1"/>
  <c r="H108" i="1" a="1"/>
  <c r="H62" i="1" a="1"/>
  <c r="H74" i="1" a="1"/>
  <c r="H18" i="1" a="1"/>
  <c r="H91" i="1" a="1"/>
  <c r="H119" i="1" a="1"/>
  <c r="H66" i="1" a="1"/>
  <c r="H37" i="1" a="1"/>
  <c r="H106" i="1" a="1"/>
  <c r="H10" i="1" a="1"/>
  <c r="H46" i="1" a="1"/>
  <c r="H20" i="1" a="1"/>
  <c r="H51" i="1" a="1"/>
  <c r="H112" i="1" a="1"/>
  <c r="H61" i="1" a="1"/>
  <c r="H16" i="1" a="1"/>
  <c r="H107" i="1" a="1"/>
  <c r="H121" i="1" a="1"/>
  <c r="H70" i="1" a="1"/>
  <c r="H29" i="1" a="1"/>
  <c r="H78" i="1" a="1"/>
  <c r="H94" i="1" a="1"/>
  <c r="H15" i="1" a="1"/>
  <c r="H39" i="1" a="1"/>
  <c r="H22" i="1" a="1"/>
  <c r="H41" i="1" a="1"/>
  <c r="H81" i="1" a="1"/>
  <c r="H42" i="1" a="1"/>
  <c r="H120" i="1" a="1"/>
  <c r="H47" i="1" a="1"/>
  <c r="H31" i="1" a="1"/>
  <c r="H24" i="1" a="1"/>
  <c r="H48" i="1" a="1"/>
  <c r="H34" i="1" a="1"/>
  <c r="H4" i="1" a="1"/>
  <c r="H5" i="1" a="1"/>
  <c r="H12" i="1" a="1"/>
  <c r="H97" i="1" a="1"/>
  <c r="H52" i="1" a="1"/>
  <c r="H71" i="1" a="1"/>
  <c r="H93" i="1" a="1"/>
  <c r="H99" i="1" a="1"/>
  <c r="H53" i="1" a="1"/>
  <c r="H32" i="1" a="1"/>
  <c r="H7" i="1" a="1"/>
  <c r="H96" i="1" a="1"/>
  <c r="H100" i="1" a="1"/>
  <c r="H77" i="1" a="1"/>
  <c r="H113" i="1" a="1"/>
  <c r="H85" i="1" a="1"/>
  <c r="H75" i="1" a="1"/>
  <c r="H26" i="1" a="1"/>
  <c r="H36" i="1" a="1"/>
  <c r="H105" i="1" a="1"/>
  <c r="H73" i="1" a="1"/>
  <c r="H67" i="1" a="1"/>
  <c r="H30" i="1" a="1"/>
  <c r="H56" i="1" a="1"/>
  <c r="H40" i="1" a="1"/>
  <c r="H92" i="1" a="1"/>
  <c r="H27" i="1" a="1"/>
  <c r="H111" i="1" a="1"/>
  <c r="H114" i="1" a="1"/>
  <c r="H88" i="1" a="1"/>
  <c r="H86" i="1" a="1"/>
  <c r="H82" i="1" a="1"/>
  <c r="H33" i="1" a="1"/>
  <c r="H58" i="1" a="1"/>
  <c r="H109" i="1" a="1"/>
  <c r="H116" i="1" a="1"/>
  <c r="H6" i="1" a="1"/>
  <c r="H101" i="1" a="1"/>
  <c r="H65" i="1" a="1"/>
  <c r="H90" i="1" a="1"/>
  <c r="H38" i="1" a="1"/>
  <c r="H115" i="1" a="1"/>
  <c r="H13" i="1" a="1"/>
  <c r="H55" i="1" a="1"/>
  <c r="H76" i="1" a="1"/>
  <c r="H83" i="1" a="1"/>
  <c r="H110" i="1" a="1"/>
  <c r="H79" i="1" a="1"/>
  <c r="H45" i="1" a="1"/>
  <c r="H118" i="1" a="1"/>
  <c r="H11" i="1" a="1"/>
  <c r="H9" i="1" a="1"/>
  <c r="H102" i="1" a="1"/>
  <c r="H63" i="1" a="1"/>
  <c r="H59" i="1" a="1"/>
  <c r="H80" i="1" a="1"/>
  <c r="H54" i="1" a="1"/>
  <c r="H28" i="1" a="1"/>
  <c r="H95" i="1" a="1"/>
  <c r="H57" i="1" a="1"/>
  <c r="H64" i="1" a="1"/>
  <c r="H84" i="1" a="1"/>
  <c r="H104" i="1" a="1"/>
  <c r="H19" i="1" a="1"/>
  <c r="H49" i="1" a="1"/>
  <c r="H98" i="1" a="1"/>
  <c r="H50" i="1" a="1"/>
  <c r="H122" i="1" a="1"/>
  <c r="H87" i="1" a="1"/>
  <c r="H69" i="1" a="1"/>
  <c r="H72" i="1" a="1"/>
  <c r="H103" i="1" a="1"/>
  <c r="H17" i="1" a="1"/>
  <c r="H21" i="1" a="1"/>
  <c r="H8" i="1" a="1"/>
  <c r="H68" i="1" a="1"/>
  <c r="H117" i="1" a="1"/>
  <c r="H44" i="1" a="1"/>
  <c r="E123" i="1" l="1"/>
  <c r="E125" i="1" s="1"/>
  <c r="H104" i="1"/>
  <c r="H88" i="1"/>
  <c r="H68" i="1"/>
  <c r="H48" i="1"/>
  <c r="H36" i="1"/>
  <c r="H16" i="1"/>
  <c r="H111" i="1"/>
  <c r="H91" i="1"/>
  <c r="H75" i="1"/>
  <c r="H47" i="1"/>
  <c r="H122" i="1"/>
  <c r="H118" i="1"/>
  <c r="H114" i="1"/>
  <c r="H110" i="1"/>
  <c r="H106" i="1"/>
  <c r="H102" i="1"/>
  <c r="H98" i="1"/>
  <c r="H94" i="1"/>
  <c r="H90" i="1"/>
  <c r="H86" i="1"/>
  <c r="H82" i="1"/>
  <c r="H78" i="1"/>
  <c r="H74" i="1"/>
  <c r="H70" i="1"/>
  <c r="H66" i="1"/>
  <c r="H62" i="1"/>
  <c r="H58" i="1"/>
  <c r="H54" i="1"/>
  <c r="H50" i="1"/>
  <c r="H46" i="1"/>
  <c r="H42" i="1"/>
  <c r="H38" i="1"/>
  <c r="H34" i="1"/>
  <c r="H30" i="1"/>
  <c r="H26" i="1"/>
  <c r="H22" i="1"/>
  <c r="H18" i="1"/>
  <c r="H14" i="1"/>
  <c r="H10" i="1"/>
  <c r="H6" i="1"/>
  <c r="H116" i="1"/>
  <c r="H96" i="1"/>
  <c r="H76" i="1"/>
  <c r="H56" i="1"/>
  <c r="H40" i="1"/>
  <c r="H24" i="1"/>
  <c r="H8" i="1"/>
  <c r="H119" i="1"/>
  <c r="H99" i="1"/>
  <c r="H55" i="1"/>
  <c r="H120" i="1"/>
  <c r="H92" i="1"/>
  <c r="H64" i="1"/>
  <c r="H20" i="1"/>
  <c r="H103" i="1"/>
  <c r="H83" i="1"/>
  <c r="H63" i="1"/>
  <c r="H117" i="1"/>
  <c r="H105" i="1"/>
  <c r="H97" i="1"/>
  <c r="H85" i="1"/>
  <c r="H73" i="1"/>
  <c r="H65" i="1"/>
  <c r="H57" i="1"/>
  <c r="H53" i="1"/>
  <c r="H49" i="1"/>
  <c r="H45" i="1"/>
  <c r="H41" i="1"/>
  <c r="H33" i="1"/>
  <c r="H29" i="1"/>
  <c r="H25" i="1"/>
  <c r="H21" i="1"/>
  <c r="H17" i="1"/>
  <c r="H13" i="1"/>
  <c r="H9" i="1"/>
  <c r="H5" i="1"/>
  <c r="H108" i="1"/>
  <c r="H84" i="1"/>
  <c r="H72" i="1"/>
  <c r="H52" i="1"/>
  <c r="H32" i="1"/>
  <c r="H12" i="1"/>
  <c r="H107" i="1"/>
  <c r="H87" i="1"/>
  <c r="H71" i="1"/>
  <c r="H51" i="1"/>
  <c r="H121" i="1"/>
  <c r="H113" i="1"/>
  <c r="H109" i="1"/>
  <c r="H101" i="1"/>
  <c r="H93" i="1"/>
  <c r="H89" i="1"/>
  <c r="H81" i="1"/>
  <c r="H77" i="1"/>
  <c r="H69" i="1"/>
  <c r="H61" i="1"/>
  <c r="H37" i="1"/>
  <c r="H112" i="1"/>
  <c r="H100" i="1"/>
  <c r="H80" i="1"/>
  <c r="H60" i="1"/>
  <c r="H44" i="1"/>
  <c r="H28" i="1"/>
  <c r="H4" i="1"/>
  <c r="H115" i="1"/>
  <c r="H95" i="1"/>
  <c r="H79" i="1"/>
  <c r="H67" i="1"/>
  <c r="H59" i="1"/>
  <c r="H43" i="1"/>
  <c r="H39" i="1"/>
  <c r="H35" i="1"/>
  <c r="H31" i="1"/>
  <c r="H27" i="1"/>
  <c r="H23" i="1"/>
  <c r="H19" i="1"/>
  <c r="H15" i="1"/>
  <c r="H11" i="1"/>
  <c r="H7" i="1"/>
  <c r="C125" i="1"/>
  <c r="D125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<sst xmlns="http://schemas.openxmlformats.org/spreadsheetml/2006/main" count="140" uniqueCount="19">
  <si>
    <t>Tamanho</t>
  </si>
  <si>
    <t>Descrição</t>
  </si>
  <si>
    <t>Total</t>
  </si>
  <si>
    <t>Lista de Produtos Infantis</t>
  </si>
  <si>
    <t>Quantidades</t>
  </si>
  <si>
    <t>Preço Unitário</t>
  </si>
  <si>
    <t>Valor Total</t>
  </si>
  <si>
    <t>Tênis Infantil Nika Vermelho</t>
  </si>
  <si>
    <t>Tênis Infantil Nika Azul</t>
  </si>
  <si>
    <t>Tênis Infantil Nika Rosa</t>
  </si>
  <si>
    <t>Tênis Infantil Atitas Vermelho</t>
  </si>
  <si>
    <t>Tênis Infantil Atitas Azul</t>
  </si>
  <si>
    <t>Tênis Infantil Atitas Rosa</t>
  </si>
  <si>
    <t>Maior Valor</t>
  </si>
  <si>
    <t>Tipo de Tênis</t>
  </si>
  <si>
    <t>Nossa_MULT</t>
  </si>
  <si>
    <t>Alerta de Estoque</t>
  </si>
  <si>
    <t>Nossa_SE</t>
  </si>
  <si>
    <t>Maior Valor Intervalo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</si>
</sst>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&quot;R$&quot;* #,##0.00_-;\-&quot;R$&quot;* #,##0.00_-;_-&quot;R$&quot;* &quot;-&quot;??_-;_-@_-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6"/>
      <color theme="9" tint="-0.499984740745262"/>
      <name val="Calibri"/>
      <family val="2"/>
      <scheme val="minor"/>
    </font>
    <font>
      <b/>
      <sz val="12"/>
      <color theme="9" tint="0.79998168889431442"/>
      <name val="Calibri"/>
      <family val="2"/>
      <scheme val="minor"/>
    </font>
    <font>
      <b/>
      <sz val="14"/>
      <color theme="9" tint="0.79998168889431442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b/>
      <sz val="14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9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29">
    <xf numFmtId="0" fontId="0" fillId="0" borderId="0" xfId="0"/>
    <xf numFmtId="0" fontId="2" fillId="0" borderId="0" xfId="0" applyFont="1" applyFill="1" applyBorder="1" applyAlignment="1">
      <alignment horizontal="left"/>
    </xf>
    <xf numFmtId="0" fontId="4" fillId="3" borderId="1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right"/>
    </xf>
    <xf numFmtId="0" fontId="5" fillId="3" borderId="2" xfId="0" applyFont="1" applyFill="1" applyBorder="1" applyAlignment="1">
      <alignment horizontal="center"/>
    </xf>
    <xf numFmtId="0" fontId="5" fillId="3" borderId="7" xfId="0" applyFont="1" applyFill="1" applyBorder="1" applyAlignment="1">
      <alignment horizontal="left"/>
    </xf>
    <xf numFmtId="164" fontId="5" fillId="3" borderId="1" xfId="0" applyNumberFormat="1" applyFont="1" applyFill="1" applyBorder="1" applyAlignment="1">
      <alignment horizontal="left"/>
    </xf>
    <xf numFmtId="0" fontId="5" fillId="0" borderId="0" xfId="0" applyFont="1" applyFill="1" applyBorder="1" applyAlignment="1">
      <alignment horizontal="left"/>
    </xf>
    <xf numFmtId="0" fontId="6" fillId="0" borderId="5" xfId="0" applyFont="1" applyFill="1" applyBorder="1" applyAlignment="1">
      <alignment horizontal="left"/>
    </xf>
    <xf numFmtId="0" fontId="6" fillId="0" borderId="3" xfId="0" applyFont="1" applyFill="1" applyBorder="1" applyAlignment="1">
      <alignment horizontal="center"/>
    </xf>
    <xf numFmtId="164" fontId="6" fillId="0" borderId="3" xfId="1" applyFont="1" applyFill="1" applyBorder="1" applyAlignment="1">
      <alignment horizontal="center"/>
    </xf>
    <xf numFmtId="0" fontId="6" fillId="0" borderId="6" xfId="0" applyFont="1" applyFill="1" applyBorder="1" applyAlignment="1">
      <alignment horizontal="left"/>
    </xf>
    <xf numFmtId="0" fontId="6" fillId="0" borderId="4" xfId="0" applyFont="1" applyFill="1" applyBorder="1" applyAlignment="1">
      <alignment horizontal="center"/>
    </xf>
    <xf numFmtId="164" fontId="6" fillId="0" borderId="4" xfId="1" applyFont="1" applyFill="1" applyBorder="1" applyAlignment="1">
      <alignment horizontal="center"/>
    </xf>
    <xf numFmtId="0" fontId="6" fillId="0" borderId="8" xfId="0" applyFont="1" applyFill="1" applyBorder="1" applyAlignment="1">
      <alignment horizontal="left"/>
    </xf>
    <xf numFmtId="164" fontId="6" fillId="0" borderId="5" xfId="1" applyFont="1" applyFill="1" applyBorder="1" applyAlignment="1">
      <alignment horizontal="left"/>
    </xf>
    <xf numFmtId="164" fontId="6" fillId="0" borderId="8" xfId="1" applyFont="1" applyFill="1" applyBorder="1" applyAlignment="1">
      <alignment horizontal="left"/>
    </xf>
    <xf numFmtId="0" fontId="0" fillId="0" borderId="0" xfId="0" applyFill="1"/>
    <xf numFmtId="164" fontId="7" fillId="0" borderId="1" xfId="0" applyNumberFormat="1" applyFont="1" applyFill="1" applyBorder="1" applyAlignment="1">
      <alignment horizontal="left"/>
    </xf>
    <xf numFmtId="0" fontId="5" fillId="3" borderId="7" xfId="0" applyFont="1" applyFill="1" applyBorder="1" applyAlignment="1">
      <alignment horizontal="right"/>
    </xf>
    <xf numFmtId="0" fontId="5" fillId="3" borderId="9" xfId="0" applyFont="1" applyFill="1" applyBorder="1" applyAlignment="1">
      <alignment horizontal="right"/>
    </xf>
    <xf numFmtId="0" fontId="5" fillId="3" borderId="2" xfId="0" applyFont="1" applyFill="1" applyBorder="1" applyAlignment="1">
      <alignment horizontal="right"/>
    </xf>
    <xf numFmtId="0" fontId="3" fillId="2" borderId="7" xfId="0" applyFont="1" applyFill="1" applyBorder="1" applyAlignment="1">
      <alignment horizontal="center"/>
    </xf>
    <xf numFmtId="0" fontId="3" fillId="2" borderId="9" xfId="0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5" fillId="3" borderId="7" xfId="0" applyFont="1" applyFill="1" applyBorder="1" applyAlignment="1">
      <alignment horizontal="right"/>
    </xf>
    <xf numFmtId="0" fontId="5" fillId="3" borderId="9" xfId="0" applyFont="1" applyFill="1" applyBorder="1" applyAlignment="1">
      <alignment horizontal="right"/>
    </xf>
    <xf numFmtId="0" fontId="5" fillId="3" borderId="2" xfId="0" applyFont="1" applyFill="1" applyBorder="1" applyAlignment="1">
      <alignment horizontal="right"/>
    </xf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11" Type="http://schemas.microsoft.com/office/2006/relationships/vbaProject" Target="vbaProject.bin"/><Relationship Id="rId5" Type="http://schemas.openxmlformats.org/officeDocument/2006/relationships/sharedStrings" Target="sharedStrings.xml"/><Relationship Id="rId10" Type="http://schemas.openxmlformats.org/officeDocument/2006/relationships/customXml" Target="../customXml/item3.xml"/><Relationship Id="rId4" Type="http://schemas.openxmlformats.org/officeDocument/2006/relationships/styles" Target="styles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1581149</xdr:colOff>
          <xdr:row>123</xdr:row>
          <xdr:rowOff>8618</xdr:rowOff>
        </xdr:from>
        <xdr:to>
          <xdr:col>1</xdr:col>
          <xdr:colOff>578303</xdr:colOff>
          <xdr:row>123</xdr:row>
          <xdr:rowOff>208643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ABC66B-F9D6-46F7-A89B-26F152C71AB5}">
  <sheetPr codeName="Planilha1"/>
  <dimension ref="A1:H125"/>
  <sheetViews>
    <sheetView showGridLines="0" tabSelected="1" zoomScaleNormal="100" workbookViewId="0">
      <pane ySplit="2" topLeftCell="A107" activePane="bottomLeft" state="frozen"/>
      <selection pane="bottomLeft" activeCell="F115" sqref="F115"/>
    </sheetView>
  </sheetViews>
  <sheetFormatPr defaultRowHeight="15" x14ac:dyDescent="0.25"/>
  <cols>
    <col min="1" max="1" width="27.28515625" style="1" customWidth="1"/>
    <col min="2" max="2" width="12.42578125" style="1" customWidth="1"/>
    <col min="3" max="3" width="18" style="1" customWidth="1"/>
    <col min="4" max="4" width="14.140625" style="1" customWidth="1"/>
    <col min="5" max="8" width="21.42578125" style="1" customWidth="1"/>
    <col min="9" max="16384" width="9.140625" style="1"/>
  </cols>
  <sheetData>
    <row r="1" spans="1:8" ht="21.75" thickBot="1" x14ac:dyDescent="0.4">
      <c r="A1" s="23" t="s">
        <v>3</v>
      </c>
      <c r="B1" s="24"/>
      <c r="C1" s="24"/>
      <c r="D1" s="24"/>
      <c r="E1" s="24"/>
      <c r="F1" s="24"/>
      <c r="G1" s="24"/>
      <c r="H1" s="25"/>
    </row>
    <row r="2" spans="1:8" ht="16.5" thickBot="1" x14ac:dyDescent="0.3">
      <c r="A2" s="2" t="s">
        <v>1</v>
      </c>
      <c r="B2" s="3" t="s">
        <v>0</v>
      </c>
      <c r="C2" s="3" t="s">
        <v>5</v>
      </c>
      <c r="D2" s="3" t="s">
        <v>4</v>
      </c>
      <c r="E2" s="3" t="s">
        <v>6</v>
      </c>
      <c r="F2" s="3" t="s">
        <v>17</v>
      </c>
      <c r="G2" s="3" t="s">
        <v>16</v>
      </c>
      <c r="H2" s="3" t="s">
        <v>15</v>
      </c>
    </row>
    <row r="3" spans="1:8" x14ac:dyDescent="0.25">
      <c r="A3" s="9" t="s">
        <v>7</v>
      </c>
      <c r="B3" s="10">
        <v>36</v>
      </c>
      <c r="C3" s="11">
        <v>95</v>
      </c>
      <c r="D3" s="10">
        <v>3</v>
      </c>
      <c r="E3" s="11">
        <f t="shared" ref="E3:E34" si="0">C3*D3</f>
        <v>285</v>
      </c>
      <c r="F3" s="11" t="str" cm="1">
        <f t="array" ref="F3">Nossa_SE(D3, "Estoque Baixo", "Estoque Normal")</f>
        <v>Estoque Baixo</v>
      </c>
      <c r="G3" s="11" t="str">
        <f t="shared" ref="G3:G34" si="1">IF(D3&lt;10, "Estoque Baixo", "Estoque Normal")</f>
        <v>Estoque Baixo</v>
      </c>
      <c r="H3" s="11" cm="1">
        <f t="array" ref="H3">Nossa_MULT(C3,D3)</f>
        <v>285</v>
      </c>
    </row>
    <row r="4" spans="1:8" x14ac:dyDescent="0.25">
      <c r="A4" s="9" t="s">
        <v>9</v>
      </c>
      <c r="B4" s="10">
        <v>36</v>
      </c>
      <c r="C4" s="11">
        <v>89.9</v>
      </c>
      <c r="D4" s="10">
        <v>3</v>
      </c>
      <c r="E4" s="11">
        <f t="shared" si="0"/>
        <v>269.70000000000005</v>
      </c>
      <c r="F4" s="11" t="str" cm="1">
        <f t="array" ref="F4">Nossa_SE(D4, "Estoque Baixo", "Estoque Normal")</f>
        <v>Estoque Baixo</v>
      </c>
      <c r="G4" s="11" t="str">
        <f t="shared" si="1"/>
        <v>Estoque Baixo</v>
      </c>
      <c r="H4" s="11" cm="1">
        <f t="array" ref="H4">Nossa_MULT(C4,D4)</f>
        <v>269.70000000000005</v>
      </c>
    </row>
    <row r="5" spans="1:8" x14ac:dyDescent="0.25">
      <c r="A5" s="9" t="s">
        <v>8</v>
      </c>
      <c r="B5" s="10">
        <v>36</v>
      </c>
      <c r="C5" s="11">
        <v>89.9</v>
      </c>
      <c r="D5" s="10">
        <v>0</v>
      </c>
      <c r="E5" s="11">
        <f t="shared" si="0"/>
        <v>0</v>
      </c>
      <c r="F5" s="11" t="str" cm="1">
        <f t="array" ref="F5">Nossa_SE(D5, "Estoque Baixo", "Estoque Normal")</f>
        <v>Estoque Baixo</v>
      </c>
      <c r="G5" s="11" t="str">
        <f t="shared" si="1"/>
        <v>Estoque Baixo</v>
      </c>
      <c r="H5" s="11" cm="1">
        <f t="array" ref="H5">Nossa_MULT(C5,D5)</f>
        <v>0</v>
      </c>
    </row>
    <row r="6" spans="1:8" x14ac:dyDescent="0.25">
      <c r="A6" s="9" t="s">
        <v>10</v>
      </c>
      <c r="B6" s="10">
        <v>36</v>
      </c>
      <c r="C6" s="11">
        <v>83.3</v>
      </c>
      <c r="D6" s="10">
        <v>36</v>
      </c>
      <c r="E6" s="11">
        <f t="shared" si="0"/>
        <v>2998.7999999999997</v>
      </c>
      <c r="F6" s="11" t="str" cm="1">
        <f t="array" ref="F6">Nossa_SE(D6, "Estoque Baixo", "Estoque Normal")</f>
        <v>Estoque Normal</v>
      </c>
      <c r="G6" s="11" t="str">
        <f t="shared" si="1"/>
        <v>Estoque Normal</v>
      </c>
      <c r="H6" s="11" cm="1">
        <f t="array" ref="H6">Nossa_MULT(C6,D6)</f>
        <v>2998.7999999999997</v>
      </c>
    </row>
    <row r="7" spans="1:8" x14ac:dyDescent="0.25">
      <c r="A7" s="9" t="s">
        <v>12</v>
      </c>
      <c r="B7" s="10">
        <v>36</v>
      </c>
      <c r="C7" s="11">
        <v>83.3</v>
      </c>
      <c r="D7" s="10">
        <v>5</v>
      </c>
      <c r="E7" s="11">
        <f t="shared" si="0"/>
        <v>416.5</v>
      </c>
      <c r="F7" s="11" t="str" cm="1">
        <f t="array" ref="F7">Nossa_SE(D7, "Estoque Baixo", "Estoque Normal")</f>
        <v>Estoque Baixo</v>
      </c>
      <c r="G7" s="11" t="str">
        <f t="shared" si="1"/>
        <v>Estoque Baixo</v>
      </c>
      <c r="H7" s="11" cm="1">
        <f t="array" ref="H7">Nossa_MULT(C7,D7)</f>
        <v>416.5</v>
      </c>
    </row>
    <row r="8" spans="1:8" x14ac:dyDescent="0.25">
      <c r="A8" s="9" t="s">
        <v>11</v>
      </c>
      <c r="B8" s="10">
        <v>36</v>
      </c>
      <c r="C8" s="11">
        <v>83.3</v>
      </c>
      <c r="D8" s="10">
        <v>14</v>
      </c>
      <c r="E8" s="11">
        <f t="shared" si="0"/>
        <v>1166.2</v>
      </c>
      <c r="F8" s="11" t="str" cm="1">
        <f t="array" ref="F8">Nossa_SE(D8, "Estoque Baixo", "Estoque Normal")</f>
        <v>Estoque Baixo</v>
      </c>
      <c r="G8" s="11" t="str">
        <f t="shared" si="1"/>
        <v>Estoque Normal</v>
      </c>
      <c r="H8" s="11" cm="1">
        <f t="array" ref="H8">Nossa_MULT(C8,D8)</f>
        <v>1166.2</v>
      </c>
    </row>
    <row r="9" spans="1:8" x14ac:dyDescent="0.25">
      <c r="A9" s="9" t="s">
        <v>7</v>
      </c>
      <c r="B9" s="10">
        <v>35</v>
      </c>
      <c r="C9" s="11">
        <v>89.9</v>
      </c>
      <c r="D9" s="10">
        <v>21</v>
      </c>
      <c r="E9" s="11">
        <f t="shared" si="0"/>
        <v>1887.9</v>
      </c>
      <c r="F9" s="11" t="str" cm="1">
        <f t="array" ref="F9">Nossa_SE(D9, "Estoque Baixo", "Estoque Normal")</f>
        <v>Estoque Baixo</v>
      </c>
      <c r="G9" s="11" t="str">
        <f t="shared" si="1"/>
        <v>Estoque Normal</v>
      </c>
      <c r="H9" s="11" cm="1">
        <f t="array" ref="H9">Nossa_MULT(C9,D9)</f>
        <v>1887.9</v>
      </c>
    </row>
    <row r="10" spans="1:8" x14ac:dyDescent="0.25">
      <c r="A10" s="9" t="s">
        <v>9</v>
      </c>
      <c r="B10" s="10">
        <v>35</v>
      </c>
      <c r="C10" s="11">
        <v>89.9</v>
      </c>
      <c r="D10" s="10">
        <v>16</v>
      </c>
      <c r="E10" s="11">
        <f t="shared" si="0"/>
        <v>1438.4</v>
      </c>
      <c r="F10" s="11" t="str" cm="1">
        <f t="array" ref="F10">Nossa_SE(D10, "Estoque Baixo", "Estoque Normal")</f>
        <v>Estoque Baixo</v>
      </c>
      <c r="G10" s="11" t="str">
        <f t="shared" si="1"/>
        <v>Estoque Normal</v>
      </c>
      <c r="H10" s="11" cm="1">
        <f t="array" ref="H10">Nossa_MULT(C10,D10)</f>
        <v>1438.4</v>
      </c>
    </row>
    <row r="11" spans="1:8" x14ac:dyDescent="0.25">
      <c r="A11" s="9" t="s">
        <v>8</v>
      </c>
      <c r="B11" s="10">
        <v>35</v>
      </c>
      <c r="C11" s="11">
        <v>89.9</v>
      </c>
      <c r="D11" s="10">
        <v>2</v>
      </c>
      <c r="E11" s="11">
        <f t="shared" si="0"/>
        <v>179.8</v>
      </c>
      <c r="F11" s="11" t="str" cm="1">
        <f t="array" ref="F11">Nossa_SE(D11, "Estoque Baixo", "Estoque Normal")</f>
        <v>Estoque Baixo</v>
      </c>
      <c r="G11" s="11" t="str">
        <f t="shared" si="1"/>
        <v>Estoque Baixo</v>
      </c>
      <c r="H11" s="11" cm="1">
        <f t="array" ref="H11">Nossa_MULT(C11,D11)</f>
        <v>179.8</v>
      </c>
    </row>
    <row r="12" spans="1:8" x14ac:dyDescent="0.25">
      <c r="A12" s="9" t="s">
        <v>10</v>
      </c>
      <c r="B12" s="10">
        <v>35</v>
      </c>
      <c r="C12" s="11">
        <v>83.3</v>
      </c>
      <c r="D12" s="10">
        <v>2</v>
      </c>
      <c r="E12" s="11">
        <f t="shared" si="0"/>
        <v>166.6</v>
      </c>
      <c r="F12" s="11" t="str" cm="1">
        <f t="array" ref="F12">Nossa_SE(D12, "Estoque Baixo", "Estoque Normal")</f>
        <v>Estoque Baixo</v>
      </c>
      <c r="G12" s="11" t="str">
        <f t="shared" si="1"/>
        <v>Estoque Baixo</v>
      </c>
      <c r="H12" s="11" cm="1">
        <f t="array" ref="H12">Nossa_MULT(C12,D12)</f>
        <v>166.6</v>
      </c>
    </row>
    <row r="13" spans="1:8" x14ac:dyDescent="0.25">
      <c r="A13" s="9" t="s">
        <v>12</v>
      </c>
      <c r="B13" s="10">
        <v>35</v>
      </c>
      <c r="C13" s="11">
        <v>83.3</v>
      </c>
      <c r="D13" s="10">
        <v>26</v>
      </c>
      <c r="E13" s="11">
        <f t="shared" si="0"/>
        <v>2165.7999999999997</v>
      </c>
      <c r="F13" s="11" t="str" cm="1">
        <f t="array" ref="F13">Nossa_SE(D13, "Estoque Baixo", "Estoque Normal")</f>
        <v>Estoque Baixo</v>
      </c>
      <c r="G13" s="11" t="str">
        <f t="shared" si="1"/>
        <v>Estoque Normal</v>
      </c>
      <c r="H13" s="11" cm="1">
        <f t="array" ref="H13">Nossa_MULT(C13,D13)</f>
        <v>2165.7999999999997</v>
      </c>
    </row>
    <row r="14" spans="1:8" x14ac:dyDescent="0.25">
      <c r="A14" s="12" t="s">
        <v>11</v>
      </c>
      <c r="B14" s="13">
        <v>35</v>
      </c>
      <c r="C14" s="14">
        <v>83.3</v>
      </c>
      <c r="D14" s="13">
        <v>8</v>
      </c>
      <c r="E14" s="11">
        <f t="shared" si="0"/>
        <v>666.4</v>
      </c>
      <c r="F14" s="11" t="str" cm="1">
        <f t="array" ref="F14">Nossa_SE(D14, "Estoque Baixo", "Estoque Normal")</f>
        <v>Estoque Baixo</v>
      </c>
      <c r="G14" s="11" t="str">
        <f t="shared" si="1"/>
        <v>Estoque Baixo</v>
      </c>
      <c r="H14" s="11" cm="1">
        <f t="array" ref="H14">Nossa_MULT(C14,D14)</f>
        <v>666.4</v>
      </c>
    </row>
    <row r="15" spans="1:8" x14ac:dyDescent="0.25">
      <c r="A15" s="12" t="s">
        <v>7</v>
      </c>
      <c r="B15" s="13">
        <v>34</v>
      </c>
      <c r="C15" s="14">
        <v>89.9</v>
      </c>
      <c r="D15" s="13">
        <v>4</v>
      </c>
      <c r="E15" s="11">
        <f t="shared" si="0"/>
        <v>359.6</v>
      </c>
      <c r="F15" s="11" t="str" cm="1">
        <f t="array" ref="F15">Nossa_SE(D15, "Estoque Baixo", "Estoque Normal")</f>
        <v>Estoque Baixo</v>
      </c>
      <c r="G15" s="11" t="str">
        <f t="shared" si="1"/>
        <v>Estoque Baixo</v>
      </c>
      <c r="H15" s="11" cm="1">
        <f t="array" ref="H15">Nossa_MULT(C15,D15)</f>
        <v>359.6</v>
      </c>
    </row>
    <row r="16" spans="1:8" x14ac:dyDescent="0.25">
      <c r="A16" s="12" t="s">
        <v>9</v>
      </c>
      <c r="B16" s="13">
        <v>34</v>
      </c>
      <c r="C16" s="14">
        <v>89.9</v>
      </c>
      <c r="D16" s="13">
        <v>25</v>
      </c>
      <c r="E16" s="11">
        <f t="shared" si="0"/>
        <v>2247.5</v>
      </c>
      <c r="F16" s="11" t="str" cm="1">
        <f t="array" ref="F16">Nossa_SE(D16, "Estoque Baixo", "Estoque Normal")</f>
        <v>Estoque Baixo</v>
      </c>
      <c r="G16" s="11" t="str">
        <f t="shared" si="1"/>
        <v>Estoque Normal</v>
      </c>
      <c r="H16" s="11" cm="1">
        <f t="array" ref="H16">Nossa_MULT(C16,D16)</f>
        <v>2247.5</v>
      </c>
    </row>
    <row r="17" spans="1:8" x14ac:dyDescent="0.25">
      <c r="A17" s="12" t="s">
        <v>8</v>
      </c>
      <c r="B17" s="13">
        <v>34</v>
      </c>
      <c r="C17" s="14">
        <v>89.9</v>
      </c>
      <c r="D17" s="13">
        <v>15</v>
      </c>
      <c r="E17" s="11">
        <f t="shared" si="0"/>
        <v>1348.5</v>
      </c>
      <c r="F17" s="11" t="str" cm="1">
        <f t="array" ref="F17">Nossa_SE(D17, "Estoque Baixo", "Estoque Normal")</f>
        <v>Estoque Baixo</v>
      </c>
      <c r="G17" s="11" t="str">
        <f t="shared" si="1"/>
        <v>Estoque Normal</v>
      </c>
      <c r="H17" s="11" cm="1">
        <f t="array" ref="H17">Nossa_MULT(C17,D17)</f>
        <v>1348.5</v>
      </c>
    </row>
    <row r="18" spans="1:8" x14ac:dyDescent="0.25">
      <c r="A18" s="12" t="s">
        <v>10</v>
      </c>
      <c r="B18" s="13">
        <v>34</v>
      </c>
      <c r="C18" s="14">
        <v>83.3</v>
      </c>
      <c r="D18" s="13">
        <v>16</v>
      </c>
      <c r="E18" s="11">
        <f t="shared" si="0"/>
        <v>1332.8</v>
      </c>
      <c r="F18" s="11" t="str" cm="1">
        <f t="array" ref="F18">Nossa_SE(D18, "Estoque Baixo", "Estoque Normal")</f>
        <v>Estoque Baixo</v>
      </c>
      <c r="G18" s="11" t="str">
        <f t="shared" si="1"/>
        <v>Estoque Normal</v>
      </c>
      <c r="H18" s="11" cm="1">
        <f t="array" ref="H18">Nossa_MULT(C18,D18)</f>
        <v>1332.8</v>
      </c>
    </row>
    <row r="19" spans="1:8" x14ac:dyDescent="0.25">
      <c r="A19" s="12" t="s">
        <v>12</v>
      </c>
      <c r="B19" s="13">
        <v>34</v>
      </c>
      <c r="C19" s="14">
        <v>83.3</v>
      </c>
      <c r="D19" s="13">
        <v>19</v>
      </c>
      <c r="E19" s="11">
        <f t="shared" si="0"/>
        <v>1582.7</v>
      </c>
      <c r="F19" s="11" t="str" cm="1">
        <f t="array" ref="F19">Nossa_SE(D19, "Estoque Baixo", "Estoque Normal")</f>
        <v>Estoque Baixo</v>
      </c>
      <c r="G19" s="11" t="str">
        <f t="shared" si="1"/>
        <v>Estoque Normal</v>
      </c>
      <c r="H19" s="11" cm="1">
        <f t="array" ref="H19">Nossa_MULT(C19,D19)</f>
        <v>1582.7</v>
      </c>
    </row>
    <row r="20" spans="1:8" x14ac:dyDescent="0.25">
      <c r="A20" s="12" t="s">
        <v>11</v>
      </c>
      <c r="B20" s="13">
        <v>34</v>
      </c>
      <c r="C20" s="14">
        <v>83.3</v>
      </c>
      <c r="D20" s="13">
        <v>6</v>
      </c>
      <c r="E20" s="11">
        <f t="shared" si="0"/>
        <v>499.79999999999995</v>
      </c>
      <c r="F20" s="11" t="str" cm="1">
        <f t="array" ref="F20">Nossa_SE(D20, "Estoque Baixo", "Estoque Normal")</f>
        <v>Estoque Baixo</v>
      </c>
      <c r="G20" s="11" t="str">
        <f t="shared" si="1"/>
        <v>Estoque Baixo</v>
      </c>
      <c r="H20" s="11" cm="1">
        <f t="array" ref="H20">Nossa_MULT(C20,D20)</f>
        <v>499.79999999999995</v>
      </c>
    </row>
    <row r="21" spans="1:8" x14ac:dyDescent="0.25">
      <c r="A21" s="12" t="s">
        <v>7</v>
      </c>
      <c r="B21" s="13">
        <v>33</v>
      </c>
      <c r="C21" s="14">
        <v>89.9</v>
      </c>
      <c r="D21" s="13">
        <v>6</v>
      </c>
      <c r="E21" s="11">
        <f t="shared" si="0"/>
        <v>539.40000000000009</v>
      </c>
      <c r="F21" s="11" t="str" cm="1">
        <f t="array" ref="F21">Nossa_SE(D21, "Estoque Baixo", "Estoque Normal")</f>
        <v>Estoque Baixo</v>
      </c>
      <c r="G21" s="11" t="str">
        <f t="shared" si="1"/>
        <v>Estoque Baixo</v>
      </c>
      <c r="H21" s="11" cm="1">
        <f t="array" ref="H21">Nossa_MULT(C21,D21)</f>
        <v>539.40000000000009</v>
      </c>
    </row>
    <row r="22" spans="1:8" x14ac:dyDescent="0.25">
      <c r="A22" s="12" t="s">
        <v>9</v>
      </c>
      <c r="B22" s="13">
        <v>33</v>
      </c>
      <c r="C22" s="14">
        <v>89.9</v>
      </c>
      <c r="D22" s="13">
        <v>4</v>
      </c>
      <c r="E22" s="11">
        <f t="shared" si="0"/>
        <v>359.6</v>
      </c>
      <c r="F22" s="11" t="str" cm="1">
        <f t="array" ref="F22">Nossa_SE(D22, "Estoque Baixo", "Estoque Normal")</f>
        <v>Estoque Baixo</v>
      </c>
      <c r="G22" s="11" t="str">
        <f t="shared" si="1"/>
        <v>Estoque Baixo</v>
      </c>
      <c r="H22" s="11" cm="1">
        <f t="array" ref="H22">Nossa_MULT(C22,D22)</f>
        <v>359.6</v>
      </c>
    </row>
    <row r="23" spans="1:8" x14ac:dyDescent="0.25">
      <c r="A23" s="9" t="s">
        <v>8</v>
      </c>
      <c r="B23" s="10">
        <v>33</v>
      </c>
      <c r="C23" s="11">
        <v>89.9</v>
      </c>
      <c r="D23" s="10">
        <v>4</v>
      </c>
      <c r="E23" s="11">
        <f t="shared" si="0"/>
        <v>359.6</v>
      </c>
      <c r="F23" s="11" t="str" cm="1">
        <f t="array" ref="F23">Nossa_SE(D23, "Estoque Baixo", "Estoque Normal")</f>
        <v>Estoque Baixo</v>
      </c>
      <c r="G23" s="11" t="str">
        <f t="shared" si="1"/>
        <v>Estoque Baixo</v>
      </c>
      <c r="H23" s="11" cm="1">
        <f t="array" ref="H23">Nossa_MULT(C23,D23)</f>
        <v>359.6</v>
      </c>
    </row>
    <row r="24" spans="1:8" x14ac:dyDescent="0.25">
      <c r="A24" s="9" t="s">
        <v>10</v>
      </c>
      <c r="B24" s="10">
        <v>33</v>
      </c>
      <c r="C24" s="11">
        <v>83.3</v>
      </c>
      <c r="D24" s="10">
        <v>15</v>
      </c>
      <c r="E24" s="11">
        <f t="shared" si="0"/>
        <v>1249.5</v>
      </c>
      <c r="F24" s="11" t="str" cm="1">
        <f t="array" ref="F24">Nossa_SE(D24, "Estoque Baixo", "Estoque Normal")</f>
        <v>Estoque Baixo</v>
      </c>
      <c r="G24" s="11" t="str">
        <f t="shared" si="1"/>
        <v>Estoque Normal</v>
      </c>
      <c r="H24" s="11" cm="1">
        <f t="array" ref="H24">Nossa_MULT(C24,D24)</f>
        <v>1249.5</v>
      </c>
    </row>
    <row r="25" spans="1:8" x14ac:dyDescent="0.25">
      <c r="A25" s="9" t="s">
        <v>12</v>
      </c>
      <c r="B25" s="10">
        <v>33</v>
      </c>
      <c r="C25" s="11">
        <v>83.3</v>
      </c>
      <c r="D25" s="10">
        <v>5</v>
      </c>
      <c r="E25" s="11">
        <f t="shared" si="0"/>
        <v>416.5</v>
      </c>
      <c r="F25" s="11" t="str" cm="1">
        <f t="array" ref="F25">Nossa_SE(D25, "Estoque Baixo", "Estoque Normal")</f>
        <v>Estoque Baixo</v>
      </c>
      <c r="G25" s="11" t="str">
        <f t="shared" si="1"/>
        <v>Estoque Baixo</v>
      </c>
      <c r="H25" s="11" cm="1">
        <f t="array" ref="H25">Nossa_MULT(C25,D25)</f>
        <v>416.5</v>
      </c>
    </row>
    <row r="26" spans="1:8" x14ac:dyDescent="0.25">
      <c r="A26" s="9" t="s">
        <v>11</v>
      </c>
      <c r="B26" s="10">
        <v>33</v>
      </c>
      <c r="C26" s="11">
        <v>83.3</v>
      </c>
      <c r="D26" s="10">
        <v>0</v>
      </c>
      <c r="E26" s="11">
        <f t="shared" si="0"/>
        <v>0</v>
      </c>
      <c r="F26" s="11" t="str" cm="1">
        <f t="array" ref="F26">Nossa_SE(D26, "Estoque Baixo", "Estoque Normal")</f>
        <v>Estoque Baixo</v>
      </c>
      <c r="G26" s="11" t="str">
        <f t="shared" si="1"/>
        <v>Estoque Baixo</v>
      </c>
      <c r="H26" s="11" cm="1">
        <f t="array" ref="H26">Nossa_MULT(C26,D26)</f>
        <v>0</v>
      </c>
    </row>
    <row r="27" spans="1:8" x14ac:dyDescent="0.25">
      <c r="A27" s="9" t="s">
        <v>7</v>
      </c>
      <c r="B27" s="10">
        <v>32</v>
      </c>
      <c r="C27" s="11">
        <v>89.9</v>
      </c>
      <c r="D27" s="10">
        <v>3</v>
      </c>
      <c r="E27" s="11">
        <f t="shared" si="0"/>
        <v>269.70000000000005</v>
      </c>
      <c r="F27" s="11" t="str" cm="1">
        <f t="array" ref="F27">Nossa_SE(D27, "Estoque Baixo", "Estoque Normal")</f>
        <v>Estoque Baixo</v>
      </c>
      <c r="G27" s="11" t="str">
        <f t="shared" si="1"/>
        <v>Estoque Baixo</v>
      </c>
      <c r="H27" s="11" cm="1">
        <f t="array" ref="H27">Nossa_MULT(C27,D27)</f>
        <v>269.70000000000005</v>
      </c>
    </row>
    <row r="28" spans="1:8" x14ac:dyDescent="0.25">
      <c r="A28" s="9" t="s">
        <v>9</v>
      </c>
      <c r="B28" s="10">
        <v>32</v>
      </c>
      <c r="C28" s="11">
        <v>89.9</v>
      </c>
      <c r="D28" s="10">
        <v>8</v>
      </c>
      <c r="E28" s="11">
        <f t="shared" si="0"/>
        <v>719.2</v>
      </c>
      <c r="F28" s="11" t="str" cm="1">
        <f t="array" ref="F28">Nossa_SE(D28, "Estoque Baixo", "Estoque Normal")</f>
        <v>Estoque Baixo</v>
      </c>
      <c r="G28" s="11" t="str">
        <f t="shared" si="1"/>
        <v>Estoque Baixo</v>
      </c>
      <c r="H28" s="11" cm="1">
        <f t="array" ref="H28">Nossa_MULT(C28,D28)</f>
        <v>719.2</v>
      </c>
    </row>
    <row r="29" spans="1:8" x14ac:dyDescent="0.25">
      <c r="A29" s="9" t="s">
        <v>8</v>
      </c>
      <c r="B29" s="10">
        <v>32</v>
      </c>
      <c r="C29" s="11">
        <v>89.9</v>
      </c>
      <c r="D29" s="10">
        <v>8</v>
      </c>
      <c r="E29" s="11">
        <f t="shared" si="0"/>
        <v>719.2</v>
      </c>
      <c r="F29" s="11" t="str" cm="1">
        <f t="array" ref="F29">Nossa_SE(D29, "Estoque Baixo", "Estoque Normal")</f>
        <v>Estoque Baixo</v>
      </c>
      <c r="G29" s="11" t="str">
        <f t="shared" si="1"/>
        <v>Estoque Baixo</v>
      </c>
      <c r="H29" s="11" cm="1">
        <f t="array" ref="H29">Nossa_MULT(C29,D29)</f>
        <v>719.2</v>
      </c>
    </row>
    <row r="30" spans="1:8" x14ac:dyDescent="0.25">
      <c r="A30" s="9" t="s">
        <v>10</v>
      </c>
      <c r="B30" s="10">
        <v>32</v>
      </c>
      <c r="C30" s="11">
        <v>83.3</v>
      </c>
      <c r="D30" s="10">
        <v>5</v>
      </c>
      <c r="E30" s="11">
        <f t="shared" si="0"/>
        <v>416.5</v>
      </c>
      <c r="F30" s="11" t="str" cm="1">
        <f t="array" ref="F30">Nossa_SE(D30, "Estoque Baixo", "Estoque Normal")</f>
        <v>Estoque Baixo</v>
      </c>
      <c r="G30" s="11" t="str">
        <f t="shared" si="1"/>
        <v>Estoque Baixo</v>
      </c>
      <c r="H30" s="11" cm="1">
        <f t="array" ref="H30">Nossa_MULT(C30,D30)</f>
        <v>416.5</v>
      </c>
    </row>
    <row r="31" spans="1:8" x14ac:dyDescent="0.25">
      <c r="A31" s="9" t="s">
        <v>12</v>
      </c>
      <c r="B31" s="10">
        <v>32</v>
      </c>
      <c r="C31" s="11">
        <v>83.3</v>
      </c>
      <c r="D31" s="10">
        <v>0</v>
      </c>
      <c r="E31" s="11">
        <f t="shared" si="0"/>
        <v>0</v>
      </c>
      <c r="F31" s="11" t="str" cm="1">
        <f t="array" ref="F31">Nossa_SE(D31, "Estoque Baixo", "Estoque Normal")</f>
        <v>Estoque Baixo</v>
      </c>
      <c r="G31" s="11" t="str">
        <f t="shared" si="1"/>
        <v>Estoque Baixo</v>
      </c>
      <c r="H31" s="11" cm="1">
        <f t="array" ref="H31">Nossa_MULT(C31,D31)</f>
        <v>0</v>
      </c>
    </row>
    <row r="32" spans="1:8" x14ac:dyDescent="0.25">
      <c r="A32" s="9" t="s">
        <v>11</v>
      </c>
      <c r="B32" s="10">
        <v>32</v>
      </c>
      <c r="C32" s="11">
        <v>83.3</v>
      </c>
      <c r="D32" s="10">
        <v>0</v>
      </c>
      <c r="E32" s="11">
        <f t="shared" si="0"/>
        <v>0</v>
      </c>
      <c r="F32" s="11" t="str" cm="1">
        <f t="array" ref="F32">Nossa_SE(D32, "Estoque Baixo", "Estoque Normal")</f>
        <v>Estoque Baixo</v>
      </c>
      <c r="G32" s="11" t="str">
        <f t="shared" si="1"/>
        <v>Estoque Baixo</v>
      </c>
      <c r="H32" s="11" cm="1">
        <f t="array" ref="H32">Nossa_MULT(C32,D32)</f>
        <v>0</v>
      </c>
    </row>
    <row r="33" spans="1:8" x14ac:dyDescent="0.25">
      <c r="A33" s="9" t="s">
        <v>7</v>
      </c>
      <c r="B33" s="10">
        <v>31</v>
      </c>
      <c r="C33" s="11">
        <v>89.9</v>
      </c>
      <c r="D33" s="10">
        <v>8</v>
      </c>
      <c r="E33" s="11">
        <f t="shared" si="0"/>
        <v>719.2</v>
      </c>
      <c r="F33" s="11" t="str" cm="1">
        <f t="array" ref="F33">Nossa_SE(D33, "Estoque Baixo", "Estoque Normal")</f>
        <v>Estoque Baixo</v>
      </c>
      <c r="G33" s="11" t="str">
        <f t="shared" si="1"/>
        <v>Estoque Baixo</v>
      </c>
      <c r="H33" s="11" cm="1">
        <f t="array" ref="H33">Nossa_MULT(C33,D33)</f>
        <v>719.2</v>
      </c>
    </row>
    <row r="34" spans="1:8" x14ac:dyDescent="0.25">
      <c r="A34" s="12" t="s">
        <v>9</v>
      </c>
      <c r="B34" s="13">
        <v>31</v>
      </c>
      <c r="C34" s="14">
        <v>89.9</v>
      </c>
      <c r="D34" s="13">
        <v>23</v>
      </c>
      <c r="E34" s="11">
        <f t="shared" si="0"/>
        <v>2067.7000000000003</v>
      </c>
      <c r="F34" s="11" t="str" cm="1">
        <f t="array" ref="F34">Nossa_SE(D34, "Estoque Baixo", "Estoque Normal")</f>
        <v>Estoque Baixo</v>
      </c>
      <c r="G34" s="11" t="str">
        <f t="shared" si="1"/>
        <v>Estoque Normal</v>
      </c>
      <c r="H34" s="11" cm="1">
        <f t="array" ref="H34">Nossa_MULT(C34,D34)</f>
        <v>2067.7000000000003</v>
      </c>
    </row>
    <row r="35" spans="1:8" x14ac:dyDescent="0.25">
      <c r="A35" s="12" t="s">
        <v>8</v>
      </c>
      <c r="B35" s="13">
        <v>31</v>
      </c>
      <c r="C35" s="14">
        <v>89.9</v>
      </c>
      <c r="D35" s="13">
        <v>15</v>
      </c>
      <c r="E35" s="11">
        <f t="shared" ref="E35:E66" si="2">C35*D35</f>
        <v>1348.5</v>
      </c>
      <c r="F35" s="11" t="str" cm="1">
        <f t="array" ref="F35">Nossa_SE(D35, "Estoque Baixo", "Estoque Normal")</f>
        <v>Estoque Baixo</v>
      </c>
      <c r="G35" s="11" t="str">
        <f t="shared" ref="G35:G66" si="3">IF(D35&lt;10, "Estoque Baixo", "Estoque Normal")</f>
        <v>Estoque Normal</v>
      </c>
      <c r="H35" s="11" cm="1">
        <f t="array" ref="H35">Nossa_MULT(C35,D35)</f>
        <v>1348.5</v>
      </c>
    </row>
    <row r="36" spans="1:8" x14ac:dyDescent="0.25">
      <c r="A36" s="12" t="s">
        <v>10</v>
      </c>
      <c r="B36" s="13">
        <v>31</v>
      </c>
      <c r="C36" s="14">
        <v>83.3</v>
      </c>
      <c r="D36" s="13">
        <v>4</v>
      </c>
      <c r="E36" s="11">
        <f t="shared" si="2"/>
        <v>333.2</v>
      </c>
      <c r="F36" s="11" t="str" cm="1">
        <f t="array" ref="F36">Nossa_SE(D36, "Estoque Baixo", "Estoque Normal")</f>
        <v>Estoque Baixo</v>
      </c>
      <c r="G36" s="11" t="str">
        <f t="shared" si="3"/>
        <v>Estoque Baixo</v>
      </c>
      <c r="H36" s="11" cm="1">
        <f t="array" ref="H36">Nossa_MULT(C36,D36)</f>
        <v>333.2</v>
      </c>
    </row>
    <row r="37" spans="1:8" x14ac:dyDescent="0.25">
      <c r="A37" s="12" t="s">
        <v>12</v>
      </c>
      <c r="B37" s="13">
        <v>31</v>
      </c>
      <c r="C37" s="14">
        <v>83.3</v>
      </c>
      <c r="D37" s="13">
        <v>6</v>
      </c>
      <c r="E37" s="11">
        <f t="shared" si="2"/>
        <v>499.79999999999995</v>
      </c>
      <c r="F37" s="11" t="str" cm="1">
        <f t="array" ref="F37">Nossa_SE(D37, "Estoque Baixo", "Estoque Normal")</f>
        <v>Estoque Baixo</v>
      </c>
      <c r="G37" s="11" t="str">
        <f t="shared" si="3"/>
        <v>Estoque Baixo</v>
      </c>
      <c r="H37" s="11" cm="1">
        <f t="array" ref="H37">Nossa_MULT(C37,D37)</f>
        <v>499.79999999999995</v>
      </c>
    </row>
    <row r="38" spans="1:8" x14ac:dyDescent="0.25">
      <c r="A38" s="12" t="s">
        <v>11</v>
      </c>
      <c r="B38" s="13">
        <v>31</v>
      </c>
      <c r="C38" s="14">
        <v>83.3</v>
      </c>
      <c r="D38" s="13">
        <v>20</v>
      </c>
      <c r="E38" s="11">
        <f t="shared" si="2"/>
        <v>1666</v>
      </c>
      <c r="F38" s="11" t="str" cm="1">
        <f t="array" ref="F38">Nossa_SE(D38, "Estoque Baixo", "Estoque Normal")</f>
        <v>Estoque Baixo</v>
      </c>
      <c r="G38" s="11" t="str">
        <f t="shared" si="3"/>
        <v>Estoque Normal</v>
      </c>
      <c r="H38" s="11" cm="1">
        <f t="array" ref="H38">Nossa_MULT(C38,D38)</f>
        <v>1666</v>
      </c>
    </row>
    <row r="39" spans="1:8" x14ac:dyDescent="0.25">
      <c r="A39" s="12" t="s">
        <v>7</v>
      </c>
      <c r="B39" s="13">
        <v>30</v>
      </c>
      <c r="C39" s="14">
        <v>89.9</v>
      </c>
      <c r="D39" s="13">
        <v>25</v>
      </c>
      <c r="E39" s="11">
        <f t="shared" si="2"/>
        <v>2247.5</v>
      </c>
      <c r="F39" s="11" t="str" cm="1">
        <f t="array" ref="F39">Nossa_SE(D39, "Estoque Baixo", "Estoque Normal")</f>
        <v>Estoque Baixo</v>
      </c>
      <c r="G39" s="11" t="str">
        <f t="shared" si="3"/>
        <v>Estoque Normal</v>
      </c>
      <c r="H39" s="11" cm="1">
        <f t="array" ref="H39">Nossa_MULT(C39,D39)</f>
        <v>2247.5</v>
      </c>
    </row>
    <row r="40" spans="1:8" x14ac:dyDescent="0.25">
      <c r="A40" s="12" t="s">
        <v>9</v>
      </c>
      <c r="B40" s="13">
        <v>30</v>
      </c>
      <c r="C40" s="14">
        <v>89.9</v>
      </c>
      <c r="D40" s="13">
        <v>3</v>
      </c>
      <c r="E40" s="11">
        <f t="shared" si="2"/>
        <v>269.70000000000005</v>
      </c>
      <c r="F40" s="11" t="str" cm="1">
        <f t="array" ref="F40">Nossa_SE(D40, "Estoque Baixo", "Estoque Normal")</f>
        <v>Estoque Baixo</v>
      </c>
      <c r="G40" s="11" t="str">
        <f t="shared" si="3"/>
        <v>Estoque Baixo</v>
      </c>
      <c r="H40" s="11" cm="1">
        <f t="array" ref="H40">Nossa_MULT(C40,D40)</f>
        <v>269.70000000000005</v>
      </c>
    </row>
    <row r="41" spans="1:8" x14ac:dyDescent="0.25">
      <c r="A41" s="12" t="s">
        <v>8</v>
      </c>
      <c r="B41" s="13">
        <v>30</v>
      </c>
      <c r="C41" s="14">
        <v>89.9</v>
      </c>
      <c r="D41" s="13">
        <v>6</v>
      </c>
      <c r="E41" s="11">
        <f t="shared" si="2"/>
        <v>539.40000000000009</v>
      </c>
      <c r="F41" s="11" t="str" cm="1">
        <f t="array" ref="F41">Nossa_SE(D41, "Estoque Baixo", "Estoque Normal")</f>
        <v>Estoque Baixo</v>
      </c>
      <c r="G41" s="11" t="str">
        <f t="shared" si="3"/>
        <v>Estoque Baixo</v>
      </c>
      <c r="H41" s="11" cm="1">
        <f t="array" ref="H41">Nossa_MULT(C41,D41)</f>
        <v>539.40000000000009</v>
      </c>
    </row>
    <row r="42" spans="1:8" x14ac:dyDescent="0.25">
      <c r="A42" s="12" t="s">
        <v>10</v>
      </c>
      <c r="B42" s="13">
        <v>30</v>
      </c>
      <c r="C42" s="14">
        <v>83.3</v>
      </c>
      <c r="D42" s="13">
        <v>0</v>
      </c>
      <c r="E42" s="11">
        <f t="shared" si="2"/>
        <v>0</v>
      </c>
      <c r="F42" s="11" t="str" cm="1">
        <f t="array" ref="F42">Nossa_SE(D42, "Estoque Baixo", "Estoque Normal")</f>
        <v>Estoque Baixo</v>
      </c>
      <c r="G42" s="11" t="str">
        <f t="shared" si="3"/>
        <v>Estoque Baixo</v>
      </c>
      <c r="H42" s="11" cm="1">
        <f t="array" ref="H42">Nossa_MULT(C42,D42)</f>
        <v>0</v>
      </c>
    </row>
    <row r="43" spans="1:8" x14ac:dyDescent="0.25">
      <c r="A43" s="9" t="s">
        <v>12</v>
      </c>
      <c r="B43" s="10">
        <v>30</v>
      </c>
      <c r="C43" s="11">
        <v>83.3</v>
      </c>
      <c r="D43" s="10">
        <v>3</v>
      </c>
      <c r="E43" s="11">
        <f t="shared" si="2"/>
        <v>249.89999999999998</v>
      </c>
      <c r="F43" s="11" t="str" cm="1">
        <f t="array" ref="F43">Nossa_SE(D43, "Estoque Baixo", "Estoque Normal")</f>
        <v>Estoque Baixo</v>
      </c>
      <c r="G43" s="11" t="str">
        <f t="shared" si="3"/>
        <v>Estoque Baixo</v>
      </c>
      <c r="H43" s="11" cm="1">
        <f t="array" ref="H43">Nossa_MULT(C43,D43)</f>
        <v>249.89999999999998</v>
      </c>
    </row>
    <row r="44" spans="1:8" x14ac:dyDescent="0.25">
      <c r="A44" s="9" t="s">
        <v>11</v>
      </c>
      <c r="B44" s="10">
        <v>30</v>
      </c>
      <c r="C44" s="11">
        <v>83.3</v>
      </c>
      <c r="D44" s="10">
        <v>16</v>
      </c>
      <c r="E44" s="11">
        <f t="shared" si="2"/>
        <v>1332.8</v>
      </c>
      <c r="F44" s="11" t="str" cm="1">
        <f t="array" ref="F44">Nossa_SE(D44, "Estoque Baixo", "Estoque Normal")</f>
        <v>Estoque Baixo</v>
      </c>
      <c r="G44" s="11" t="str">
        <f t="shared" si="3"/>
        <v>Estoque Normal</v>
      </c>
      <c r="H44" s="11" cm="1">
        <f t="array" ref="H44">Nossa_MULT(C44,D44)</f>
        <v>1332.8</v>
      </c>
    </row>
    <row r="45" spans="1:8" x14ac:dyDescent="0.25">
      <c r="A45" s="9" t="s">
        <v>7</v>
      </c>
      <c r="B45" s="10">
        <v>29</v>
      </c>
      <c r="C45" s="11">
        <v>89.9</v>
      </c>
      <c r="D45" s="10">
        <v>0</v>
      </c>
      <c r="E45" s="11">
        <f t="shared" si="2"/>
        <v>0</v>
      </c>
      <c r="F45" s="11" t="str" cm="1">
        <f t="array" ref="F45">Nossa_SE(D45, "Estoque Baixo", "Estoque Normal")</f>
        <v>Estoque Baixo</v>
      </c>
      <c r="G45" s="11" t="str">
        <f t="shared" si="3"/>
        <v>Estoque Baixo</v>
      </c>
      <c r="H45" s="11" cm="1">
        <f t="array" ref="H45">Nossa_MULT(C45,D45)</f>
        <v>0</v>
      </c>
    </row>
    <row r="46" spans="1:8" x14ac:dyDescent="0.25">
      <c r="A46" s="9" t="s">
        <v>9</v>
      </c>
      <c r="B46" s="10">
        <v>29</v>
      </c>
      <c r="C46" s="11">
        <v>89.9</v>
      </c>
      <c r="D46" s="10">
        <v>1</v>
      </c>
      <c r="E46" s="11">
        <f t="shared" si="2"/>
        <v>89.9</v>
      </c>
      <c r="F46" s="11" t="str" cm="1">
        <f t="array" ref="F46">Nossa_SE(D46, "Estoque Baixo", "Estoque Normal")</f>
        <v>Estoque Baixo</v>
      </c>
      <c r="G46" s="11" t="str">
        <f t="shared" si="3"/>
        <v>Estoque Baixo</v>
      </c>
      <c r="H46" s="11" cm="1">
        <f t="array" ref="H46">Nossa_MULT(C46,D46)</f>
        <v>89.9</v>
      </c>
    </row>
    <row r="47" spans="1:8" x14ac:dyDescent="0.25">
      <c r="A47" s="9" t="s">
        <v>8</v>
      </c>
      <c r="B47" s="10">
        <v>29</v>
      </c>
      <c r="C47" s="11">
        <v>89.9</v>
      </c>
      <c r="D47" s="10">
        <v>8</v>
      </c>
      <c r="E47" s="11">
        <f t="shared" si="2"/>
        <v>719.2</v>
      </c>
      <c r="F47" s="11" t="str" cm="1">
        <f t="array" ref="F47">Nossa_SE(D47, "Estoque Baixo", "Estoque Normal")</f>
        <v>Estoque Baixo</v>
      </c>
      <c r="G47" s="11" t="str">
        <f t="shared" si="3"/>
        <v>Estoque Baixo</v>
      </c>
      <c r="H47" s="11" cm="1">
        <f t="array" ref="H47">Nossa_MULT(C47,D47)</f>
        <v>719.2</v>
      </c>
    </row>
    <row r="48" spans="1:8" x14ac:dyDescent="0.25">
      <c r="A48" s="9" t="s">
        <v>10</v>
      </c>
      <c r="B48" s="10">
        <v>29</v>
      </c>
      <c r="C48" s="11">
        <v>83.3</v>
      </c>
      <c r="D48" s="10">
        <v>5</v>
      </c>
      <c r="E48" s="11">
        <f t="shared" si="2"/>
        <v>416.5</v>
      </c>
      <c r="F48" s="11" t="str" cm="1">
        <f t="array" ref="F48">Nossa_SE(D48, "Estoque Baixo", "Estoque Normal")</f>
        <v>Estoque Baixo</v>
      </c>
      <c r="G48" s="11" t="str">
        <f t="shared" si="3"/>
        <v>Estoque Baixo</v>
      </c>
      <c r="H48" s="11" cm="1">
        <f t="array" ref="H48">Nossa_MULT(C48,D48)</f>
        <v>416.5</v>
      </c>
    </row>
    <row r="49" spans="1:8" x14ac:dyDescent="0.25">
      <c r="A49" s="9" t="s">
        <v>12</v>
      </c>
      <c r="B49" s="10">
        <v>29</v>
      </c>
      <c r="C49" s="11">
        <v>83.3</v>
      </c>
      <c r="D49" s="10">
        <v>2</v>
      </c>
      <c r="E49" s="11">
        <f t="shared" si="2"/>
        <v>166.6</v>
      </c>
      <c r="F49" s="11" t="str" cm="1">
        <f t="array" ref="F49">Nossa_SE(D49, "Estoque Baixo", "Estoque Normal")</f>
        <v>Estoque Baixo</v>
      </c>
      <c r="G49" s="11" t="str">
        <f t="shared" si="3"/>
        <v>Estoque Baixo</v>
      </c>
      <c r="H49" s="11" cm="1">
        <f t="array" ref="H49">Nossa_MULT(C49,D49)</f>
        <v>166.6</v>
      </c>
    </row>
    <row r="50" spans="1:8" x14ac:dyDescent="0.25">
      <c r="A50" s="9" t="s">
        <v>11</v>
      </c>
      <c r="B50" s="10">
        <v>29</v>
      </c>
      <c r="C50" s="11">
        <v>83.3</v>
      </c>
      <c r="D50" s="10">
        <v>7</v>
      </c>
      <c r="E50" s="11">
        <f t="shared" si="2"/>
        <v>583.1</v>
      </c>
      <c r="F50" s="11" t="str" cm="1">
        <f t="array" ref="F50">Nossa_SE(D50, "Estoque Baixo", "Estoque Normal")</f>
        <v>Estoque Baixo</v>
      </c>
      <c r="G50" s="11" t="str">
        <f t="shared" si="3"/>
        <v>Estoque Baixo</v>
      </c>
      <c r="H50" s="11" cm="1">
        <f t="array" ref="H50">Nossa_MULT(C50,D50)</f>
        <v>583.1</v>
      </c>
    </row>
    <row r="51" spans="1:8" x14ac:dyDescent="0.25">
      <c r="A51" s="9" t="s">
        <v>7</v>
      </c>
      <c r="B51" s="10">
        <v>28</v>
      </c>
      <c r="C51" s="11">
        <v>89.9</v>
      </c>
      <c r="D51" s="10">
        <v>5</v>
      </c>
      <c r="E51" s="11">
        <f t="shared" si="2"/>
        <v>449.5</v>
      </c>
      <c r="F51" s="11" t="str" cm="1">
        <f t="array" ref="F51">Nossa_SE(D51, "Estoque Baixo", "Estoque Normal")</f>
        <v>Estoque Baixo</v>
      </c>
      <c r="G51" s="11" t="str">
        <f t="shared" si="3"/>
        <v>Estoque Baixo</v>
      </c>
      <c r="H51" s="11" cm="1">
        <f t="array" ref="H51">Nossa_MULT(C51,D51)</f>
        <v>449.5</v>
      </c>
    </row>
    <row r="52" spans="1:8" x14ac:dyDescent="0.25">
      <c r="A52" s="9" t="s">
        <v>9</v>
      </c>
      <c r="B52" s="10">
        <v>28</v>
      </c>
      <c r="C52" s="11">
        <v>89.9</v>
      </c>
      <c r="D52" s="10">
        <v>21</v>
      </c>
      <c r="E52" s="11">
        <f t="shared" si="2"/>
        <v>1887.9</v>
      </c>
      <c r="F52" s="11" t="str" cm="1">
        <f t="array" ref="F52">Nossa_SE(D52, "Estoque Baixo", "Estoque Normal")</f>
        <v>Estoque Baixo</v>
      </c>
      <c r="G52" s="11" t="str">
        <f t="shared" si="3"/>
        <v>Estoque Normal</v>
      </c>
      <c r="H52" s="11" cm="1">
        <f t="array" ref="H52">Nossa_MULT(C52,D52)</f>
        <v>1887.9</v>
      </c>
    </row>
    <row r="53" spans="1:8" x14ac:dyDescent="0.25">
      <c r="A53" s="9" t="s">
        <v>8</v>
      </c>
      <c r="B53" s="10">
        <v>28</v>
      </c>
      <c r="C53" s="11">
        <v>89.9</v>
      </c>
      <c r="D53" s="10">
        <v>5</v>
      </c>
      <c r="E53" s="11">
        <f t="shared" si="2"/>
        <v>449.5</v>
      </c>
      <c r="F53" s="11" t="str" cm="1">
        <f t="array" ref="F53">Nossa_SE(D53, "Estoque Baixo", "Estoque Normal")</f>
        <v>Estoque Baixo</v>
      </c>
      <c r="G53" s="11" t="str">
        <f t="shared" si="3"/>
        <v>Estoque Baixo</v>
      </c>
      <c r="H53" s="11" cm="1">
        <f t="array" ref="H53">Nossa_MULT(C53,D53)</f>
        <v>449.5</v>
      </c>
    </row>
    <row r="54" spans="1:8" x14ac:dyDescent="0.25">
      <c r="A54" s="12" t="s">
        <v>10</v>
      </c>
      <c r="B54" s="13">
        <v>28</v>
      </c>
      <c r="C54" s="14">
        <v>83.3</v>
      </c>
      <c r="D54" s="13">
        <v>29</v>
      </c>
      <c r="E54" s="11">
        <f t="shared" si="2"/>
        <v>2415.6999999999998</v>
      </c>
      <c r="F54" s="11" t="str" cm="1">
        <f t="array" ref="F54">Nossa_SE(D54, "Estoque Baixo", "Estoque Normal")</f>
        <v>Estoque Baixo</v>
      </c>
      <c r="G54" s="11" t="str">
        <f t="shared" si="3"/>
        <v>Estoque Normal</v>
      </c>
      <c r="H54" s="11" cm="1">
        <f t="array" ref="H54">Nossa_MULT(C54,D54)</f>
        <v>2415.6999999999998</v>
      </c>
    </row>
    <row r="55" spans="1:8" x14ac:dyDescent="0.25">
      <c r="A55" s="12" t="s">
        <v>12</v>
      </c>
      <c r="B55" s="13">
        <v>28</v>
      </c>
      <c r="C55" s="14">
        <v>83.3</v>
      </c>
      <c r="D55" s="13">
        <v>18</v>
      </c>
      <c r="E55" s="11">
        <f t="shared" si="2"/>
        <v>1499.3999999999999</v>
      </c>
      <c r="F55" s="11" t="str" cm="1">
        <f t="array" ref="F55">Nossa_SE(D55, "Estoque Baixo", "Estoque Normal")</f>
        <v>Estoque Baixo</v>
      </c>
      <c r="G55" s="11" t="str">
        <f t="shared" si="3"/>
        <v>Estoque Normal</v>
      </c>
      <c r="H55" s="11" cm="1">
        <f t="array" ref="H55">Nossa_MULT(C55,D55)</f>
        <v>1499.3999999999999</v>
      </c>
    </row>
    <row r="56" spans="1:8" x14ac:dyDescent="0.25">
      <c r="A56" s="12" t="s">
        <v>11</v>
      </c>
      <c r="B56" s="13">
        <v>28</v>
      </c>
      <c r="C56" s="14">
        <v>83.3</v>
      </c>
      <c r="D56" s="13">
        <v>8</v>
      </c>
      <c r="E56" s="11">
        <f t="shared" si="2"/>
        <v>666.4</v>
      </c>
      <c r="F56" s="11" t="str" cm="1">
        <f t="array" ref="F56">Nossa_SE(D56, "Estoque Baixo", "Estoque Normal")</f>
        <v>Estoque Baixo</v>
      </c>
      <c r="G56" s="11" t="str">
        <f t="shared" si="3"/>
        <v>Estoque Baixo</v>
      </c>
      <c r="H56" s="11" cm="1">
        <f t="array" ref="H56">Nossa_MULT(C56,D56)</f>
        <v>666.4</v>
      </c>
    </row>
    <row r="57" spans="1:8" x14ac:dyDescent="0.25">
      <c r="A57" s="12" t="s">
        <v>7</v>
      </c>
      <c r="B57" s="13">
        <v>27</v>
      </c>
      <c r="C57" s="14">
        <v>85.5</v>
      </c>
      <c r="D57" s="13">
        <v>23</v>
      </c>
      <c r="E57" s="11">
        <f t="shared" si="2"/>
        <v>1966.5</v>
      </c>
      <c r="F57" s="11" t="str" cm="1">
        <f t="array" ref="F57">Nossa_SE(D57, "Estoque Baixo", "Estoque Normal")</f>
        <v>Estoque Baixo</v>
      </c>
      <c r="G57" s="11" t="str">
        <f t="shared" si="3"/>
        <v>Estoque Normal</v>
      </c>
      <c r="H57" s="11" cm="1">
        <f t="array" ref="H57">Nossa_MULT(C57,D57)</f>
        <v>1966.5</v>
      </c>
    </row>
    <row r="58" spans="1:8" x14ac:dyDescent="0.25">
      <c r="A58" s="12" t="s">
        <v>9</v>
      </c>
      <c r="B58" s="13">
        <v>27</v>
      </c>
      <c r="C58" s="14">
        <v>85.5</v>
      </c>
      <c r="D58" s="13">
        <v>26</v>
      </c>
      <c r="E58" s="11">
        <f t="shared" si="2"/>
        <v>2223</v>
      </c>
      <c r="F58" s="11" t="str" cm="1">
        <f t="array" ref="F58">Nossa_SE(D58, "Estoque Baixo", "Estoque Normal")</f>
        <v>Estoque Baixo</v>
      </c>
      <c r="G58" s="11" t="str">
        <f t="shared" si="3"/>
        <v>Estoque Normal</v>
      </c>
      <c r="H58" s="11" cm="1">
        <f t="array" ref="H58">Nossa_MULT(C58,D58)</f>
        <v>2223</v>
      </c>
    </row>
    <row r="59" spans="1:8" x14ac:dyDescent="0.25">
      <c r="A59" s="12" t="s">
        <v>8</v>
      </c>
      <c r="B59" s="13">
        <v>27</v>
      </c>
      <c r="C59" s="14">
        <v>85.5</v>
      </c>
      <c r="D59" s="13">
        <v>30</v>
      </c>
      <c r="E59" s="11">
        <f t="shared" si="2"/>
        <v>2565</v>
      </c>
      <c r="F59" s="11" t="str" cm="1">
        <f t="array" ref="F59">Nossa_SE(D59, "Estoque Baixo", "Estoque Normal")</f>
        <v>Estoque Normal</v>
      </c>
      <c r="G59" s="11" t="str">
        <f t="shared" si="3"/>
        <v>Estoque Normal</v>
      </c>
      <c r="H59" s="11" cm="1">
        <f t="array" ref="H59">Nossa_MULT(C59,D59)</f>
        <v>2565</v>
      </c>
    </row>
    <row r="60" spans="1:8" x14ac:dyDescent="0.25">
      <c r="A60" s="12" t="s">
        <v>10</v>
      </c>
      <c r="B60" s="13">
        <v>27</v>
      </c>
      <c r="C60" s="14">
        <v>79.8</v>
      </c>
      <c r="D60" s="13">
        <v>15</v>
      </c>
      <c r="E60" s="11">
        <f t="shared" si="2"/>
        <v>1197</v>
      </c>
      <c r="F60" s="11" t="str" cm="1">
        <f t="array" ref="F60">Nossa_SE(D60, "Estoque Baixo", "Estoque Normal")</f>
        <v>Estoque Baixo</v>
      </c>
      <c r="G60" s="11" t="str">
        <f t="shared" si="3"/>
        <v>Estoque Normal</v>
      </c>
      <c r="H60" s="11" cm="1">
        <f t="array" ref="H60">Nossa_MULT(C60,D60)</f>
        <v>1197</v>
      </c>
    </row>
    <row r="61" spans="1:8" x14ac:dyDescent="0.25">
      <c r="A61" s="12" t="s">
        <v>12</v>
      </c>
      <c r="B61" s="13">
        <v>27</v>
      </c>
      <c r="C61" s="14">
        <v>79.8</v>
      </c>
      <c r="D61" s="13">
        <v>18</v>
      </c>
      <c r="E61" s="11">
        <f t="shared" si="2"/>
        <v>1436.3999999999999</v>
      </c>
      <c r="F61" s="11" t="str" cm="1">
        <f t="array" ref="F61">Nossa_SE(D61, "Estoque Baixo", "Estoque Normal")</f>
        <v>Estoque Baixo</v>
      </c>
      <c r="G61" s="11" t="str">
        <f t="shared" si="3"/>
        <v>Estoque Normal</v>
      </c>
      <c r="H61" s="11" cm="1">
        <f t="array" ref="H61">Nossa_MULT(C61,D61)</f>
        <v>1436.3999999999999</v>
      </c>
    </row>
    <row r="62" spans="1:8" x14ac:dyDescent="0.25">
      <c r="A62" s="12" t="s">
        <v>11</v>
      </c>
      <c r="B62" s="13">
        <v>27</v>
      </c>
      <c r="C62" s="14">
        <v>79.8</v>
      </c>
      <c r="D62" s="13">
        <v>2</v>
      </c>
      <c r="E62" s="11">
        <f t="shared" si="2"/>
        <v>159.6</v>
      </c>
      <c r="F62" s="11" t="str" cm="1">
        <f t="array" ref="F62">Nossa_SE(D62, "Estoque Baixo", "Estoque Normal")</f>
        <v>Estoque Baixo</v>
      </c>
      <c r="G62" s="11" t="str">
        <f t="shared" si="3"/>
        <v>Estoque Baixo</v>
      </c>
      <c r="H62" s="11" cm="1">
        <f t="array" ref="H62">Nossa_MULT(C62,D62)</f>
        <v>159.6</v>
      </c>
    </row>
    <row r="63" spans="1:8" x14ac:dyDescent="0.25">
      <c r="A63" s="9" t="s">
        <v>7</v>
      </c>
      <c r="B63" s="10">
        <v>26</v>
      </c>
      <c r="C63" s="11">
        <v>85.5</v>
      </c>
      <c r="D63" s="10">
        <v>26</v>
      </c>
      <c r="E63" s="11">
        <f t="shared" si="2"/>
        <v>2223</v>
      </c>
      <c r="F63" s="11" t="str" cm="1">
        <f t="array" ref="F63">Nossa_SE(D63, "Estoque Baixo", "Estoque Normal")</f>
        <v>Estoque Baixo</v>
      </c>
      <c r="G63" s="11" t="str">
        <f t="shared" si="3"/>
        <v>Estoque Normal</v>
      </c>
      <c r="H63" s="11" cm="1">
        <f t="array" ref="H63">Nossa_MULT(C63,D63)</f>
        <v>2223</v>
      </c>
    </row>
    <row r="64" spans="1:8" x14ac:dyDescent="0.25">
      <c r="A64" s="9" t="s">
        <v>9</v>
      </c>
      <c r="B64" s="10">
        <v>26</v>
      </c>
      <c r="C64" s="11">
        <v>85.5</v>
      </c>
      <c r="D64" s="10">
        <v>25</v>
      </c>
      <c r="E64" s="11">
        <f t="shared" si="2"/>
        <v>2137.5</v>
      </c>
      <c r="F64" s="11" t="str" cm="1">
        <f t="array" ref="F64">Nossa_SE(D64, "Estoque Baixo", "Estoque Normal")</f>
        <v>Estoque Baixo</v>
      </c>
      <c r="G64" s="11" t="str">
        <f t="shared" si="3"/>
        <v>Estoque Normal</v>
      </c>
      <c r="H64" s="11" cm="1">
        <f t="array" ref="H64">Nossa_MULT(C64,D64)</f>
        <v>2137.5</v>
      </c>
    </row>
    <row r="65" spans="1:8" x14ac:dyDescent="0.25">
      <c r="A65" s="9" t="s">
        <v>8</v>
      </c>
      <c r="B65" s="10">
        <v>26</v>
      </c>
      <c r="C65" s="11">
        <v>85.5</v>
      </c>
      <c r="D65" s="10">
        <v>8</v>
      </c>
      <c r="E65" s="11">
        <f t="shared" si="2"/>
        <v>684</v>
      </c>
      <c r="F65" s="11" t="str" cm="1">
        <f t="array" ref="F65">Nossa_SE(D65, "Estoque Baixo", "Estoque Normal")</f>
        <v>Estoque Baixo</v>
      </c>
      <c r="G65" s="11" t="str">
        <f t="shared" si="3"/>
        <v>Estoque Baixo</v>
      </c>
      <c r="H65" s="11" cm="1">
        <f t="array" ref="H65">Nossa_MULT(C65,D65)</f>
        <v>684</v>
      </c>
    </row>
    <row r="66" spans="1:8" x14ac:dyDescent="0.25">
      <c r="A66" s="9" t="s">
        <v>10</v>
      </c>
      <c r="B66" s="10">
        <v>26</v>
      </c>
      <c r="C66" s="11">
        <v>79.8</v>
      </c>
      <c r="D66" s="10">
        <v>14</v>
      </c>
      <c r="E66" s="11">
        <f t="shared" si="2"/>
        <v>1117.2</v>
      </c>
      <c r="F66" s="11" t="str" cm="1">
        <f t="array" ref="F66">Nossa_SE(D66, "Estoque Baixo", "Estoque Normal")</f>
        <v>Estoque Baixo</v>
      </c>
      <c r="G66" s="11" t="str">
        <f t="shared" si="3"/>
        <v>Estoque Normal</v>
      </c>
      <c r="H66" s="11" cm="1">
        <f t="array" ref="H66">Nossa_MULT(C66,D66)</f>
        <v>1117.2</v>
      </c>
    </row>
    <row r="67" spans="1:8" x14ac:dyDescent="0.25">
      <c r="A67" s="9" t="s">
        <v>12</v>
      </c>
      <c r="B67" s="10">
        <v>26</v>
      </c>
      <c r="C67" s="11">
        <v>79.8</v>
      </c>
      <c r="D67" s="10">
        <v>15</v>
      </c>
      <c r="E67" s="11">
        <f t="shared" ref="E67:E98" si="4">C67*D67</f>
        <v>1197</v>
      </c>
      <c r="F67" s="11" t="str" cm="1">
        <f t="array" ref="F67">Nossa_SE(D67, "Estoque Baixo", "Estoque Normal")</f>
        <v>Estoque Baixo</v>
      </c>
      <c r="G67" s="11" t="str">
        <f t="shared" ref="G67:G98" si="5">IF(D67&lt;10, "Estoque Baixo", "Estoque Normal")</f>
        <v>Estoque Normal</v>
      </c>
      <c r="H67" s="11" cm="1">
        <f t="array" ref="H67">Nossa_MULT(C67,D67)</f>
        <v>1197</v>
      </c>
    </row>
    <row r="68" spans="1:8" x14ac:dyDescent="0.25">
      <c r="A68" s="9" t="s">
        <v>11</v>
      </c>
      <c r="B68" s="10">
        <v>26</v>
      </c>
      <c r="C68" s="11">
        <v>79.8</v>
      </c>
      <c r="D68" s="10">
        <v>25</v>
      </c>
      <c r="E68" s="11">
        <f t="shared" si="4"/>
        <v>1995</v>
      </c>
      <c r="F68" s="11" t="str" cm="1">
        <f t="array" ref="F68">Nossa_SE(D68, "Estoque Baixo", "Estoque Normal")</f>
        <v>Estoque Baixo</v>
      </c>
      <c r="G68" s="11" t="str">
        <f t="shared" si="5"/>
        <v>Estoque Normal</v>
      </c>
      <c r="H68" s="11" cm="1">
        <f t="array" ref="H68">Nossa_MULT(C68,D68)</f>
        <v>1995</v>
      </c>
    </row>
    <row r="69" spans="1:8" x14ac:dyDescent="0.25">
      <c r="A69" s="9" t="s">
        <v>7</v>
      </c>
      <c r="B69" s="10">
        <v>25</v>
      </c>
      <c r="C69" s="11">
        <v>85.5</v>
      </c>
      <c r="D69" s="10">
        <v>2</v>
      </c>
      <c r="E69" s="11">
        <f t="shared" si="4"/>
        <v>171</v>
      </c>
      <c r="F69" s="11" t="str" cm="1">
        <f t="array" ref="F69">Nossa_SE(D69, "Estoque Baixo", "Estoque Normal")</f>
        <v>Estoque Baixo</v>
      </c>
      <c r="G69" s="11" t="str">
        <f t="shared" si="5"/>
        <v>Estoque Baixo</v>
      </c>
      <c r="H69" s="11" cm="1">
        <f t="array" ref="H69">Nossa_MULT(C69,D69)</f>
        <v>171</v>
      </c>
    </row>
    <row r="70" spans="1:8" x14ac:dyDescent="0.25">
      <c r="A70" s="9" t="s">
        <v>9</v>
      </c>
      <c r="B70" s="10">
        <v>25</v>
      </c>
      <c r="C70" s="11">
        <v>85.5</v>
      </c>
      <c r="D70" s="10">
        <v>19</v>
      </c>
      <c r="E70" s="11">
        <f t="shared" si="4"/>
        <v>1624.5</v>
      </c>
      <c r="F70" s="11" t="str" cm="1">
        <f t="array" ref="F70">Nossa_SE(D70, "Estoque Baixo", "Estoque Normal")</f>
        <v>Estoque Baixo</v>
      </c>
      <c r="G70" s="11" t="str">
        <f t="shared" si="5"/>
        <v>Estoque Normal</v>
      </c>
      <c r="H70" s="11" cm="1">
        <f t="array" ref="H70">Nossa_MULT(C70,D70)</f>
        <v>1624.5</v>
      </c>
    </row>
    <row r="71" spans="1:8" x14ac:dyDescent="0.25">
      <c r="A71" s="9" t="s">
        <v>8</v>
      </c>
      <c r="B71" s="10">
        <v>25</v>
      </c>
      <c r="C71" s="11">
        <v>85.5</v>
      </c>
      <c r="D71" s="10">
        <v>6</v>
      </c>
      <c r="E71" s="11">
        <f t="shared" si="4"/>
        <v>513</v>
      </c>
      <c r="F71" s="11" t="str" cm="1">
        <f t="array" ref="F71">Nossa_SE(D71, "Estoque Baixo", "Estoque Normal")</f>
        <v>Estoque Baixo</v>
      </c>
      <c r="G71" s="11" t="str">
        <f t="shared" si="5"/>
        <v>Estoque Baixo</v>
      </c>
      <c r="H71" s="11" cm="1">
        <f t="array" ref="H71">Nossa_MULT(C71,D71)</f>
        <v>513</v>
      </c>
    </row>
    <row r="72" spans="1:8" x14ac:dyDescent="0.25">
      <c r="A72" s="9" t="s">
        <v>10</v>
      </c>
      <c r="B72" s="10">
        <v>25</v>
      </c>
      <c r="C72" s="11">
        <v>79.8</v>
      </c>
      <c r="D72" s="10">
        <v>16</v>
      </c>
      <c r="E72" s="11">
        <f t="shared" si="4"/>
        <v>1276.8</v>
      </c>
      <c r="F72" s="11" t="str" cm="1">
        <f t="array" ref="F72">Nossa_SE(D72, "Estoque Baixo", "Estoque Normal")</f>
        <v>Estoque Baixo</v>
      </c>
      <c r="G72" s="11" t="str">
        <f t="shared" si="5"/>
        <v>Estoque Normal</v>
      </c>
      <c r="H72" s="11" cm="1">
        <f t="array" ref="H72">Nossa_MULT(C72,D72)</f>
        <v>1276.8</v>
      </c>
    </row>
    <row r="73" spans="1:8" x14ac:dyDescent="0.25">
      <c r="A73" s="9" t="s">
        <v>12</v>
      </c>
      <c r="B73" s="10">
        <v>25</v>
      </c>
      <c r="C73" s="11">
        <v>79.8</v>
      </c>
      <c r="D73" s="10">
        <v>9</v>
      </c>
      <c r="E73" s="11">
        <f t="shared" si="4"/>
        <v>718.19999999999993</v>
      </c>
      <c r="F73" s="11" t="str" cm="1">
        <f t="array" ref="F73">Nossa_SE(D73, "Estoque Baixo", "Estoque Normal")</f>
        <v>Estoque Baixo</v>
      </c>
      <c r="G73" s="11" t="str">
        <f t="shared" si="5"/>
        <v>Estoque Baixo</v>
      </c>
      <c r="H73" s="11" cm="1">
        <f t="array" ref="H73">Nossa_MULT(C73,D73)</f>
        <v>718.19999999999993</v>
      </c>
    </row>
    <row r="74" spans="1:8" x14ac:dyDescent="0.25">
      <c r="A74" s="12" t="s">
        <v>11</v>
      </c>
      <c r="B74" s="13">
        <v>25</v>
      </c>
      <c r="C74" s="14">
        <v>79.8</v>
      </c>
      <c r="D74" s="13">
        <v>15</v>
      </c>
      <c r="E74" s="11">
        <f t="shared" si="4"/>
        <v>1197</v>
      </c>
      <c r="F74" s="11" t="str" cm="1">
        <f t="array" ref="F74">Nossa_SE(D74, "Estoque Baixo", "Estoque Normal")</f>
        <v>Estoque Baixo</v>
      </c>
      <c r="G74" s="11" t="str">
        <f t="shared" si="5"/>
        <v>Estoque Normal</v>
      </c>
      <c r="H74" s="11" cm="1">
        <f t="array" ref="H74">Nossa_MULT(C74,D74)</f>
        <v>1197</v>
      </c>
    </row>
    <row r="75" spans="1:8" x14ac:dyDescent="0.25">
      <c r="A75" s="12" t="s">
        <v>7</v>
      </c>
      <c r="B75" s="13">
        <v>24</v>
      </c>
      <c r="C75" s="14">
        <v>85.5</v>
      </c>
      <c r="D75" s="13">
        <v>25</v>
      </c>
      <c r="E75" s="11">
        <f t="shared" si="4"/>
        <v>2137.5</v>
      </c>
      <c r="F75" s="11" t="str" cm="1">
        <f t="array" ref="F75">Nossa_SE(D75, "Estoque Baixo", "Estoque Normal")</f>
        <v>Estoque Baixo</v>
      </c>
      <c r="G75" s="11" t="str">
        <f t="shared" si="5"/>
        <v>Estoque Normal</v>
      </c>
      <c r="H75" s="11" cm="1">
        <f t="array" ref="H75">Nossa_MULT(C75,D75)</f>
        <v>2137.5</v>
      </c>
    </row>
    <row r="76" spans="1:8" x14ac:dyDescent="0.25">
      <c r="A76" s="12" t="s">
        <v>9</v>
      </c>
      <c r="B76" s="13">
        <v>24</v>
      </c>
      <c r="C76" s="14">
        <v>85.5</v>
      </c>
      <c r="D76" s="13">
        <v>16</v>
      </c>
      <c r="E76" s="11">
        <f t="shared" si="4"/>
        <v>1368</v>
      </c>
      <c r="F76" s="11" t="str" cm="1">
        <f t="array" ref="F76">Nossa_SE(D76, "Estoque Baixo", "Estoque Normal")</f>
        <v>Estoque Baixo</v>
      </c>
      <c r="G76" s="11" t="str">
        <f t="shared" si="5"/>
        <v>Estoque Normal</v>
      </c>
      <c r="H76" s="11" cm="1">
        <f t="array" ref="H76">Nossa_MULT(C76,D76)</f>
        <v>1368</v>
      </c>
    </row>
    <row r="77" spans="1:8" x14ac:dyDescent="0.25">
      <c r="A77" s="12" t="s">
        <v>8</v>
      </c>
      <c r="B77" s="13">
        <v>24</v>
      </c>
      <c r="C77" s="14">
        <v>85.5</v>
      </c>
      <c r="D77" s="13">
        <v>25</v>
      </c>
      <c r="E77" s="11">
        <f t="shared" si="4"/>
        <v>2137.5</v>
      </c>
      <c r="F77" s="11" t="str" cm="1">
        <f t="array" ref="F77">Nossa_SE(D77, "Estoque Baixo", "Estoque Normal")</f>
        <v>Estoque Baixo</v>
      </c>
      <c r="G77" s="11" t="str">
        <f t="shared" si="5"/>
        <v>Estoque Normal</v>
      </c>
      <c r="H77" s="11" cm="1">
        <f t="array" ref="H77">Nossa_MULT(C77,D77)</f>
        <v>2137.5</v>
      </c>
    </row>
    <row r="78" spans="1:8" x14ac:dyDescent="0.25">
      <c r="A78" s="12" t="s">
        <v>10</v>
      </c>
      <c r="B78" s="13">
        <v>24</v>
      </c>
      <c r="C78" s="14">
        <v>79.8</v>
      </c>
      <c r="D78" s="13">
        <v>15</v>
      </c>
      <c r="E78" s="11">
        <f t="shared" si="4"/>
        <v>1197</v>
      </c>
      <c r="F78" s="11" t="str" cm="1">
        <f t="array" ref="F78">Nossa_SE(D78, "Estoque Baixo", "Estoque Normal")</f>
        <v>Estoque Baixo</v>
      </c>
      <c r="G78" s="11" t="str">
        <f t="shared" si="5"/>
        <v>Estoque Normal</v>
      </c>
      <c r="H78" s="11" cm="1">
        <f t="array" ref="H78">Nossa_MULT(C78,D78)</f>
        <v>1197</v>
      </c>
    </row>
    <row r="79" spans="1:8" x14ac:dyDescent="0.25">
      <c r="A79" s="12" t="s">
        <v>12</v>
      </c>
      <c r="B79" s="13">
        <v>24</v>
      </c>
      <c r="C79" s="14">
        <v>79.8</v>
      </c>
      <c r="D79" s="13">
        <v>8</v>
      </c>
      <c r="E79" s="11">
        <f t="shared" si="4"/>
        <v>638.4</v>
      </c>
      <c r="F79" s="11" t="str" cm="1">
        <f t="array" ref="F79">Nossa_SE(D79, "Estoque Baixo", "Estoque Normal")</f>
        <v>Estoque Baixo</v>
      </c>
      <c r="G79" s="11" t="str">
        <f t="shared" si="5"/>
        <v>Estoque Baixo</v>
      </c>
      <c r="H79" s="11" cm="1">
        <f t="array" ref="H79">Nossa_MULT(C79,D79)</f>
        <v>638.4</v>
      </c>
    </row>
    <row r="80" spans="1:8" x14ac:dyDescent="0.25">
      <c r="A80" s="12" t="s">
        <v>11</v>
      </c>
      <c r="B80" s="13">
        <v>24</v>
      </c>
      <c r="C80" s="14">
        <v>79.8</v>
      </c>
      <c r="D80" s="13">
        <v>23</v>
      </c>
      <c r="E80" s="11">
        <f t="shared" si="4"/>
        <v>1835.3999999999999</v>
      </c>
      <c r="F80" s="11" t="str" cm="1">
        <f t="array" ref="F80">Nossa_SE(D80, "Estoque Baixo", "Estoque Normal")</f>
        <v>Estoque Baixo</v>
      </c>
      <c r="G80" s="11" t="str">
        <f t="shared" si="5"/>
        <v>Estoque Normal</v>
      </c>
      <c r="H80" s="11" cm="1">
        <f t="array" ref="H80">Nossa_MULT(C80,D80)</f>
        <v>1835.3999999999999</v>
      </c>
    </row>
    <row r="81" spans="1:8" x14ac:dyDescent="0.25">
      <c r="A81" s="12" t="s">
        <v>7</v>
      </c>
      <c r="B81" s="13">
        <v>23</v>
      </c>
      <c r="C81" s="14">
        <v>85.5</v>
      </c>
      <c r="D81" s="13">
        <v>2</v>
      </c>
      <c r="E81" s="11">
        <f t="shared" si="4"/>
        <v>171</v>
      </c>
      <c r="F81" s="11" t="str" cm="1">
        <f t="array" ref="F81">Nossa_SE(D81, "Estoque Baixo", "Estoque Normal")</f>
        <v>Estoque Baixo</v>
      </c>
      <c r="G81" s="11" t="str">
        <f t="shared" si="5"/>
        <v>Estoque Baixo</v>
      </c>
      <c r="H81" s="11" cm="1">
        <f t="array" ref="H81">Nossa_MULT(C81,D81)</f>
        <v>171</v>
      </c>
    </row>
    <row r="82" spans="1:8" x14ac:dyDescent="0.25">
      <c r="A82" s="12" t="s">
        <v>9</v>
      </c>
      <c r="B82" s="13">
        <v>23</v>
      </c>
      <c r="C82" s="14">
        <v>85.5</v>
      </c>
      <c r="D82" s="13">
        <v>5</v>
      </c>
      <c r="E82" s="11">
        <f t="shared" si="4"/>
        <v>427.5</v>
      </c>
      <c r="F82" s="11" t="str" cm="1">
        <f t="array" ref="F82">Nossa_SE(D82, "Estoque Baixo", "Estoque Normal")</f>
        <v>Estoque Baixo</v>
      </c>
      <c r="G82" s="11" t="str">
        <f t="shared" si="5"/>
        <v>Estoque Baixo</v>
      </c>
      <c r="H82" s="11" cm="1">
        <f t="array" ref="H82">Nossa_MULT(C82,D82)</f>
        <v>427.5</v>
      </c>
    </row>
    <row r="83" spans="1:8" x14ac:dyDescent="0.25">
      <c r="A83" s="9" t="s">
        <v>8</v>
      </c>
      <c r="B83" s="10">
        <v>23</v>
      </c>
      <c r="C83" s="11">
        <v>85.5</v>
      </c>
      <c r="D83" s="10">
        <v>0</v>
      </c>
      <c r="E83" s="11">
        <f t="shared" si="4"/>
        <v>0</v>
      </c>
      <c r="F83" s="11" t="str" cm="1">
        <f t="array" ref="F83">Nossa_SE(D83, "Estoque Baixo", "Estoque Normal")</f>
        <v>Estoque Baixo</v>
      </c>
      <c r="G83" s="11" t="str">
        <f t="shared" si="5"/>
        <v>Estoque Baixo</v>
      </c>
      <c r="H83" s="11" cm="1">
        <f t="array" ref="H83">Nossa_MULT(C83,D83)</f>
        <v>0</v>
      </c>
    </row>
    <row r="84" spans="1:8" x14ac:dyDescent="0.25">
      <c r="A84" s="9" t="s">
        <v>10</v>
      </c>
      <c r="B84" s="10">
        <v>23</v>
      </c>
      <c r="C84" s="11">
        <v>79.8</v>
      </c>
      <c r="D84" s="10">
        <v>16</v>
      </c>
      <c r="E84" s="11">
        <f t="shared" si="4"/>
        <v>1276.8</v>
      </c>
      <c r="F84" s="11" t="str" cm="1">
        <f t="array" ref="F84">Nossa_SE(D84, "Estoque Baixo", "Estoque Normal")</f>
        <v>Estoque Baixo</v>
      </c>
      <c r="G84" s="11" t="str">
        <f t="shared" si="5"/>
        <v>Estoque Normal</v>
      </c>
      <c r="H84" s="11" cm="1">
        <f t="array" ref="H84">Nossa_MULT(C84,D84)</f>
        <v>1276.8</v>
      </c>
    </row>
    <row r="85" spans="1:8" x14ac:dyDescent="0.25">
      <c r="A85" s="9" t="s">
        <v>12</v>
      </c>
      <c r="B85" s="10">
        <v>23</v>
      </c>
      <c r="C85" s="11">
        <v>79.8</v>
      </c>
      <c r="D85" s="10">
        <v>6</v>
      </c>
      <c r="E85" s="11">
        <f t="shared" si="4"/>
        <v>478.79999999999995</v>
      </c>
      <c r="F85" s="11" t="str" cm="1">
        <f t="array" ref="F85">Nossa_SE(D85, "Estoque Baixo", "Estoque Normal")</f>
        <v>Estoque Baixo</v>
      </c>
      <c r="G85" s="11" t="str">
        <f t="shared" si="5"/>
        <v>Estoque Baixo</v>
      </c>
      <c r="H85" s="11" cm="1">
        <f t="array" ref="H85">Nossa_MULT(C85,D85)</f>
        <v>478.79999999999995</v>
      </c>
    </row>
    <row r="86" spans="1:8" x14ac:dyDescent="0.25">
      <c r="A86" s="9" t="s">
        <v>11</v>
      </c>
      <c r="B86" s="10">
        <v>23</v>
      </c>
      <c r="C86" s="11">
        <v>79.8</v>
      </c>
      <c r="D86" s="10">
        <v>8</v>
      </c>
      <c r="E86" s="11">
        <f t="shared" si="4"/>
        <v>638.4</v>
      </c>
      <c r="F86" s="11" t="str" cm="1">
        <f t="array" ref="F86">Nossa_SE(D86, "Estoque Baixo", "Estoque Normal")</f>
        <v>Estoque Baixo</v>
      </c>
      <c r="G86" s="11" t="str">
        <f t="shared" si="5"/>
        <v>Estoque Baixo</v>
      </c>
      <c r="H86" s="11" cm="1">
        <f t="array" ref="H86">Nossa_MULT(C86,D86)</f>
        <v>638.4</v>
      </c>
    </row>
    <row r="87" spans="1:8" x14ac:dyDescent="0.25">
      <c r="A87" s="9" t="s">
        <v>7</v>
      </c>
      <c r="B87" s="10">
        <v>22</v>
      </c>
      <c r="C87" s="11">
        <v>85.5</v>
      </c>
      <c r="D87" s="10">
        <v>8</v>
      </c>
      <c r="E87" s="11">
        <f t="shared" si="4"/>
        <v>684</v>
      </c>
      <c r="F87" s="11" t="str" cm="1">
        <f t="array" ref="F87">Nossa_SE(D87, "Estoque Baixo", "Estoque Normal")</f>
        <v>Estoque Baixo</v>
      </c>
      <c r="G87" s="11" t="str">
        <f t="shared" si="5"/>
        <v>Estoque Baixo</v>
      </c>
      <c r="H87" s="11" cm="1">
        <f t="array" ref="H87">Nossa_MULT(C87,D87)</f>
        <v>684</v>
      </c>
    </row>
    <row r="88" spans="1:8" x14ac:dyDescent="0.25">
      <c r="A88" s="9" t="s">
        <v>9</v>
      </c>
      <c r="B88" s="10">
        <v>22</v>
      </c>
      <c r="C88" s="11">
        <v>85.5</v>
      </c>
      <c r="D88" s="10">
        <v>0</v>
      </c>
      <c r="E88" s="11">
        <f t="shared" si="4"/>
        <v>0</v>
      </c>
      <c r="F88" s="11" t="str" cm="1">
        <f t="array" ref="F88">Nossa_SE(D88, "Estoque Baixo", "Estoque Normal")</f>
        <v>Estoque Baixo</v>
      </c>
      <c r="G88" s="11" t="str">
        <f t="shared" si="5"/>
        <v>Estoque Baixo</v>
      </c>
      <c r="H88" s="11" cm="1">
        <f t="array" ref="H88">Nossa_MULT(C88,D88)</f>
        <v>0</v>
      </c>
    </row>
    <row r="89" spans="1:8" x14ac:dyDescent="0.25">
      <c r="A89" s="9" t="s">
        <v>8</v>
      </c>
      <c r="B89" s="10">
        <v>22</v>
      </c>
      <c r="C89" s="11">
        <v>85.5</v>
      </c>
      <c r="D89" s="10">
        <v>5</v>
      </c>
      <c r="E89" s="11">
        <f t="shared" si="4"/>
        <v>427.5</v>
      </c>
      <c r="F89" s="11" t="str" cm="1">
        <f t="array" ref="F89">Nossa_SE(D89, "Estoque Baixo", "Estoque Normal")</f>
        <v>Estoque Baixo</v>
      </c>
      <c r="G89" s="11" t="str">
        <f t="shared" si="5"/>
        <v>Estoque Baixo</v>
      </c>
      <c r="H89" s="11" cm="1">
        <f t="array" ref="H89">Nossa_MULT(C89,D89)</f>
        <v>427.5</v>
      </c>
    </row>
    <row r="90" spans="1:8" x14ac:dyDescent="0.25">
      <c r="A90" s="9" t="s">
        <v>10</v>
      </c>
      <c r="B90" s="10">
        <v>22</v>
      </c>
      <c r="C90" s="11">
        <v>79.8</v>
      </c>
      <c r="D90" s="10">
        <v>5</v>
      </c>
      <c r="E90" s="11">
        <f t="shared" si="4"/>
        <v>399</v>
      </c>
      <c r="F90" s="11" t="str" cm="1">
        <f t="array" ref="F90">Nossa_SE(D90, "Estoque Baixo", "Estoque Normal")</f>
        <v>Estoque Baixo</v>
      </c>
      <c r="G90" s="11" t="str">
        <f t="shared" si="5"/>
        <v>Estoque Baixo</v>
      </c>
      <c r="H90" s="11" cm="1">
        <f t="array" ref="H90">Nossa_MULT(C90,D90)</f>
        <v>399</v>
      </c>
    </row>
    <row r="91" spans="1:8" x14ac:dyDescent="0.25">
      <c r="A91" s="9" t="s">
        <v>12</v>
      </c>
      <c r="B91" s="10">
        <v>22</v>
      </c>
      <c r="C91" s="11">
        <v>79.8</v>
      </c>
      <c r="D91" s="10">
        <v>0</v>
      </c>
      <c r="E91" s="11">
        <f t="shared" si="4"/>
        <v>0</v>
      </c>
      <c r="F91" s="11" t="str" cm="1">
        <f t="array" ref="F91">Nossa_SE(D91, "Estoque Baixo", "Estoque Normal")</f>
        <v>Estoque Baixo</v>
      </c>
      <c r="G91" s="11" t="str">
        <f t="shared" si="5"/>
        <v>Estoque Baixo</v>
      </c>
      <c r="H91" s="11" cm="1">
        <f t="array" ref="H91">Nossa_MULT(C91,D91)</f>
        <v>0</v>
      </c>
    </row>
    <row r="92" spans="1:8" x14ac:dyDescent="0.25">
      <c r="A92" s="9" t="s">
        <v>11</v>
      </c>
      <c r="B92" s="10">
        <v>22</v>
      </c>
      <c r="C92" s="11">
        <v>79.8</v>
      </c>
      <c r="D92" s="10">
        <v>5</v>
      </c>
      <c r="E92" s="11">
        <f t="shared" si="4"/>
        <v>399</v>
      </c>
      <c r="F92" s="11" t="str" cm="1">
        <f t="array" ref="F92">Nossa_SE(D92, "Estoque Baixo", "Estoque Normal")</f>
        <v>Estoque Baixo</v>
      </c>
      <c r="G92" s="11" t="str">
        <f t="shared" si="5"/>
        <v>Estoque Baixo</v>
      </c>
      <c r="H92" s="11" cm="1">
        <f t="array" ref="H92">Nossa_MULT(C92,D92)</f>
        <v>399</v>
      </c>
    </row>
    <row r="93" spans="1:8" x14ac:dyDescent="0.25">
      <c r="A93" s="9" t="s">
        <v>7</v>
      </c>
      <c r="B93" s="10">
        <v>21</v>
      </c>
      <c r="C93" s="11">
        <v>85.5</v>
      </c>
      <c r="D93" s="10">
        <v>5</v>
      </c>
      <c r="E93" s="11">
        <f t="shared" si="4"/>
        <v>427.5</v>
      </c>
      <c r="F93" s="11" t="str" cm="1">
        <f t="array" ref="F93">Nossa_SE(D93, "Estoque Baixo", "Estoque Normal")</f>
        <v>Estoque Baixo</v>
      </c>
      <c r="G93" s="11" t="str">
        <f t="shared" si="5"/>
        <v>Estoque Baixo</v>
      </c>
      <c r="H93" s="11" cm="1">
        <f t="array" ref="H93">Nossa_MULT(C93,D93)</f>
        <v>427.5</v>
      </c>
    </row>
    <row r="94" spans="1:8" x14ac:dyDescent="0.25">
      <c r="A94" s="12" t="s">
        <v>9</v>
      </c>
      <c r="B94" s="13">
        <v>21</v>
      </c>
      <c r="C94" s="14">
        <v>85.5</v>
      </c>
      <c r="D94" s="13">
        <v>19</v>
      </c>
      <c r="E94" s="11">
        <f t="shared" si="4"/>
        <v>1624.5</v>
      </c>
      <c r="F94" s="11" t="str" cm="1">
        <f t="array" ref="F94">Nossa_SE(D94, "Estoque Baixo", "Estoque Normal")</f>
        <v>Estoque Baixo</v>
      </c>
      <c r="G94" s="11" t="str">
        <f t="shared" si="5"/>
        <v>Estoque Normal</v>
      </c>
      <c r="H94" s="11" cm="1">
        <f t="array" ref="H94">Nossa_MULT(C94,D94)</f>
        <v>1624.5</v>
      </c>
    </row>
    <row r="95" spans="1:8" x14ac:dyDescent="0.25">
      <c r="A95" s="12" t="s">
        <v>8</v>
      </c>
      <c r="B95" s="13">
        <v>21</v>
      </c>
      <c r="C95" s="14">
        <v>85.5</v>
      </c>
      <c r="D95" s="13">
        <v>19</v>
      </c>
      <c r="E95" s="11">
        <f t="shared" si="4"/>
        <v>1624.5</v>
      </c>
      <c r="F95" s="11" t="str" cm="1">
        <f t="array" ref="F95">Nossa_SE(D95, "Estoque Baixo", "Estoque Normal")</f>
        <v>Estoque Baixo</v>
      </c>
      <c r="G95" s="11" t="str">
        <f t="shared" si="5"/>
        <v>Estoque Normal</v>
      </c>
      <c r="H95" s="11" cm="1">
        <f t="array" ref="H95">Nossa_MULT(C95,D95)</f>
        <v>1624.5</v>
      </c>
    </row>
    <row r="96" spans="1:8" x14ac:dyDescent="0.25">
      <c r="A96" s="12" t="s">
        <v>10</v>
      </c>
      <c r="B96" s="13">
        <v>21</v>
      </c>
      <c r="C96" s="14">
        <v>79.8</v>
      </c>
      <c r="D96" s="13">
        <v>0</v>
      </c>
      <c r="E96" s="11">
        <f t="shared" si="4"/>
        <v>0</v>
      </c>
      <c r="F96" s="11" t="str" cm="1">
        <f t="array" ref="F96">Nossa_SE(D96, "Estoque Baixo", "Estoque Normal")</f>
        <v>Estoque Baixo</v>
      </c>
      <c r="G96" s="11" t="str">
        <f t="shared" si="5"/>
        <v>Estoque Baixo</v>
      </c>
      <c r="H96" s="11" cm="1">
        <f t="array" ref="H96">Nossa_MULT(C96,D96)</f>
        <v>0</v>
      </c>
    </row>
    <row r="97" spans="1:8" x14ac:dyDescent="0.25">
      <c r="A97" s="12" t="s">
        <v>12</v>
      </c>
      <c r="B97" s="13">
        <v>21</v>
      </c>
      <c r="C97" s="14">
        <v>79.8</v>
      </c>
      <c r="D97" s="13">
        <v>0</v>
      </c>
      <c r="E97" s="11">
        <f t="shared" si="4"/>
        <v>0</v>
      </c>
      <c r="F97" s="11" t="str" cm="1">
        <f t="array" ref="F97">Nossa_SE(D97, "Estoque Baixo", "Estoque Normal")</f>
        <v>Estoque Baixo</v>
      </c>
      <c r="G97" s="11" t="str">
        <f t="shared" si="5"/>
        <v>Estoque Baixo</v>
      </c>
      <c r="H97" s="11" cm="1">
        <f t="array" ref="H97">Nossa_MULT(C97,D97)</f>
        <v>0</v>
      </c>
    </row>
    <row r="98" spans="1:8" x14ac:dyDescent="0.25">
      <c r="A98" s="12" t="s">
        <v>11</v>
      </c>
      <c r="B98" s="13">
        <v>21</v>
      </c>
      <c r="C98" s="14">
        <v>79.8</v>
      </c>
      <c r="D98" s="13">
        <v>12</v>
      </c>
      <c r="E98" s="11">
        <f t="shared" si="4"/>
        <v>957.59999999999991</v>
      </c>
      <c r="F98" s="11" t="str" cm="1">
        <f t="array" ref="F98">Nossa_SE(D98, "Estoque Baixo", "Estoque Normal")</f>
        <v>Estoque Baixo</v>
      </c>
      <c r="G98" s="11" t="str">
        <f t="shared" si="5"/>
        <v>Estoque Normal</v>
      </c>
      <c r="H98" s="11" cm="1">
        <f t="array" ref="H98">Nossa_MULT(C98,D98)</f>
        <v>957.59999999999991</v>
      </c>
    </row>
    <row r="99" spans="1:8" x14ac:dyDescent="0.25">
      <c r="A99" s="12" t="s">
        <v>7</v>
      </c>
      <c r="B99" s="13">
        <v>20</v>
      </c>
      <c r="C99" s="14">
        <v>85.5</v>
      </c>
      <c r="D99" s="13">
        <v>16</v>
      </c>
      <c r="E99" s="11">
        <f t="shared" ref="E99:E122" si="6">C99*D99</f>
        <v>1368</v>
      </c>
      <c r="F99" s="11" t="str" cm="1">
        <f t="array" ref="F99">Nossa_SE(D99, "Estoque Baixo", "Estoque Normal")</f>
        <v>Estoque Baixo</v>
      </c>
      <c r="G99" s="11" t="str">
        <f t="shared" ref="G99:G122" si="7">IF(D99&lt;10, "Estoque Baixo", "Estoque Normal")</f>
        <v>Estoque Normal</v>
      </c>
      <c r="H99" s="11" cm="1">
        <f t="array" ref="H99">Nossa_MULT(C99,D99)</f>
        <v>1368</v>
      </c>
    </row>
    <row r="100" spans="1:8" x14ac:dyDescent="0.25">
      <c r="A100" s="12" t="s">
        <v>9</v>
      </c>
      <c r="B100" s="13">
        <v>20</v>
      </c>
      <c r="C100" s="14">
        <v>85.5</v>
      </c>
      <c r="D100" s="13">
        <v>16</v>
      </c>
      <c r="E100" s="11">
        <f t="shared" si="6"/>
        <v>1368</v>
      </c>
      <c r="F100" s="11" t="str" cm="1">
        <f t="array" ref="F100">Nossa_SE(D100, "Estoque Baixo", "Estoque Normal")</f>
        <v>Estoque Baixo</v>
      </c>
      <c r="G100" s="11" t="str">
        <f t="shared" si="7"/>
        <v>Estoque Normal</v>
      </c>
      <c r="H100" s="11" cm="1">
        <f t="array" ref="H100">Nossa_MULT(C100,D100)</f>
        <v>1368</v>
      </c>
    </row>
    <row r="101" spans="1:8" x14ac:dyDescent="0.25">
      <c r="A101" s="12" t="s">
        <v>8</v>
      </c>
      <c r="B101" s="13">
        <v>20</v>
      </c>
      <c r="C101" s="14">
        <v>85.5</v>
      </c>
      <c r="D101" s="13">
        <v>18</v>
      </c>
      <c r="E101" s="11">
        <f t="shared" si="6"/>
        <v>1539</v>
      </c>
      <c r="F101" s="11" t="str" cm="1">
        <f t="array" ref="F101">Nossa_SE(D101, "Estoque Baixo", "Estoque Normal")</f>
        <v>Estoque Baixo</v>
      </c>
      <c r="G101" s="11" t="str">
        <f t="shared" si="7"/>
        <v>Estoque Normal</v>
      </c>
      <c r="H101" s="11" cm="1">
        <f t="array" ref="H101">Nossa_MULT(C101,D101)</f>
        <v>1539</v>
      </c>
    </row>
    <row r="102" spans="1:8" x14ac:dyDescent="0.25">
      <c r="A102" s="12" t="s">
        <v>10</v>
      </c>
      <c r="B102" s="13">
        <v>20</v>
      </c>
      <c r="C102" s="14">
        <v>79.8</v>
      </c>
      <c r="D102" s="13">
        <v>1</v>
      </c>
      <c r="E102" s="11">
        <f t="shared" si="6"/>
        <v>79.8</v>
      </c>
      <c r="F102" s="11" t="str" cm="1">
        <f t="array" ref="F102">Nossa_SE(D102, "Estoque Baixo", "Estoque Normal")</f>
        <v>Estoque Baixo</v>
      </c>
      <c r="G102" s="11" t="str">
        <f t="shared" si="7"/>
        <v>Estoque Baixo</v>
      </c>
      <c r="H102" s="11" cm="1">
        <f t="array" ref="H102">Nossa_MULT(C102,D102)</f>
        <v>79.8</v>
      </c>
    </row>
    <row r="103" spans="1:8" x14ac:dyDescent="0.25">
      <c r="A103" s="9" t="s">
        <v>12</v>
      </c>
      <c r="B103" s="10">
        <v>20</v>
      </c>
      <c r="C103" s="11">
        <v>79.8</v>
      </c>
      <c r="D103" s="10">
        <v>1</v>
      </c>
      <c r="E103" s="11">
        <f t="shared" si="6"/>
        <v>79.8</v>
      </c>
      <c r="F103" s="11" t="str" cm="1">
        <f t="array" ref="F103">Nossa_SE(D103, "Estoque Baixo", "Estoque Normal")</f>
        <v>Estoque Baixo</v>
      </c>
      <c r="G103" s="11" t="str">
        <f t="shared" si="7"/>
        <v>Estoque Baixo</v>
      </c>
      <c r="H103" s="11" cm="1">
        <f t="array" ref="H103">Nossa_MULT(C103,D103)</f>
        <v>79.8</v>
      </c>
    </row>
    <row r="104" spans="1:8" x14ac:dyDescent="0.25">
      <c r="A104" s="9" t="s">
        <v>11</v>
      </c>
      <c r="B104" s="10">
        <v>20</v>
      </c>
      <c r="C104" s="11">
        <v>79.8</v>
      </c>
      <c r="D104" s="10">
        <v>21</v>
      </c>
      <c r="E104" s="11">
        <f t="shared" si="6"/>
        <v>1675.8</v>
      </c>
      <c r="F104" s="11" t="str" cm="1">
        <f t="array" ref="F104">Nossa_SE(D104, "Estoque Baixo", "Estoque Normal")</f>
        <v>Estoque Baixo</v>
      </c>
      <c r="G104" s="11" t="str">
        <f t="shared" si="7"/>
        <v>Estoque Normal</v>
      </c>
      <c r="H104" s="11" cm="1">
        <f t="array" ref="H104">Nossa_MULT(C104,D104)</f>
        <v>1675.8</v>
      </c>
    </row>
    <row r="105" spans="1:8" x14ac:dyDescent="0.25">
      <c r="A105" s="9" t="s">
        <v>7</v>
      </c>
      <c r="B105" s="10">
        <v>19</v>
      </c>
      <c r="C105" s="11">
        <v>85.5</v>
      </c>
      <c r="D105" s="10">
        <v>8</v>
      </c>
      <c r="E105" s="11">
        <f t="shared" si="6"/>
        <v>684</v>
      </c>
      <c r="F105" s="11" t="str" cm="1">
        <f t="array" ref="F105">Nossa_SE(D105, "Estoque Baixo", "Estoque Normal")</f>
        <v>Estoque Baixo</v>
      </c>
      <c r="G105" s="11" t="str">
        <f t="shared" si="7"/>
        <v>Estoque Baixo</v>
      </c>
      <c r="H105" s="11" cm="1">
        <f t="array" ref="H105">Nossa_MULT(C105,D105)</f>
        <v>684</v>
      </c>
    </row>
    <row r="106" spans="1:8" x14ac:dyDescent="0.25">
      <c r="A106" s="9" t="s">
        <v>9</v>
      </c>
      <c r="B106" s="10">
        <v>19</v>
      </c>
      <c r="C106" s="11">
        <v>85.5</v>
      </c>
      <c r="D106" s="10">
        <v>25</v>
      </c>
      <c r="E106" s="11">
        <f t="shared" si="6"/>
        <v>2137.5</v>
      </c>
      <c r="F106" s="11" t="str" cm="1">
        <f t="array" ref="F106">Nossa_SE(D106, "Estoque Baixo", "Estoque Normal")</f>
        <v>Estoque Baixo</v>
      </c>
      <c r="G106" s="11" t="str">
        <f t="shared" si="7"/>
        <v>Estoque Normal</v>
      </c>
      <c r="H106" s="11" cm="1">
        <f t="array" ref="H106">Nossa_MULT(C106,D106)</f>
        <v>2137.5</v>
      </c>
    </row>
    <row r="107" spans="1:8" x14ac:dyDescent="0.25">
      <c r="A107" s="9" t="s">
        <v>8</v>
      </c>
      <c r="B107" s="10">
        <v>19</v>
      </c>
      <c r="C107" s="11">
        <v>85.5</v>
      </c>
      <c r="D107" s="10">
        <v>16</v>
      </c>
      <c r="E107" s="11">
        <f t="shared" si="6"/>
        <v>1368</v>
      </c>
      <c r="F107" s="11" t="str" cm="1">
        <f t="array" ref="F107">Nossa_SE(D107, "Estoque Baixo", "Estoque Normal")</f>
        <v>Estoque Baixo</v>
      </c>
      <c r="G107" s="11" t="str">
        <f t="shared" si="7"/>
        <v>Estoque Normal</v>
      </c>
      <c r="H107" s="11" cm="1">
        <f t="array" ref="H107">Nossa_MULT(C107,D107)</f>
        <v>1368</v>
      </c>
    </row>
    <row r="108" spans="1:8" x14ac:dyDescent="0.25">
      <c r="A108" s="9" t="s">
        <v>10</v>
      </c>
      <c r="B108" s="10">
        <v>19</v>
      </c>
      <c r="C108" s="11">
        <v>79.8</v>
      </c>
      <c r="D108" s="10">
        <v>3</v>
      </c>
      <c r="E108" s="11">
        <f t="shared" si="6"/>
        <v>239.39999999999998</v>
      </c>
      <c r="F108" s="11" t="str" cm="1">
        <f t="array" ref="F108">Nossa_SE(D108, "Estoque Baixo", "Estoque Normal")</f>
        <v>Estoque Baixo</v>
      </c>
      <c r="G108" s="11" t="str">
        <f t="shared" si="7"/>
        <v>Estoque Baixo</v>
      </c>
      <c r="H108" s="11" cm="1">
        <f t="array" ref="H108">Nossa_MULT(C108,D108)</f>
        <v>239.39999999999998</v>
      </c>
    </row>
    <row r="109" spans="1:8" x14ac:dyDescent="0.25">
      <c r="A109" s="9" t="s">
        <v>12</v>
      </c>
      <c r="B109" s="10">
        <v>19</v>
      </c>
      <c r="C109" s="11">
        <v>79.8</v>
      </c>
      <c r="D109" s="10">
        <v>2</v>
      </c>
      <c r="E109" s="11">
        <f t="shared" si="6"/>
        <v>159.6</v>
      </c>
      <c r="F109" s="11" t="str" cm="1">
        <f t="array" ref="F109">Nossa_SE(D109, "Estoque Baixo", "Estoque Normal")</f>
        <v>Estoque Baixo</v>
      </c>
      <c r="G109" s="11" t="str">
        <f t="shared" si="7"/>
        <v>Estoque Baixo</v>
      </c>
      <c r="H109" s="11" cm="1">
        <f t="array" ref="H109">Nossa_MULT(C109,D109)</f>
        <v>159.6</v>
      </c>
    </row>
    <row r="110" spans="1:8" x14ac:dyDescent="0.25">
      <c r="A110" s="9" t="s">
        <v>11</v>
      </c>
      <c r="B110" s="10">
        <v>19</v>
      </c>
      <c r="C110" s="11">
        <v>79.8</v>
      </c>
      <c r="D110" s="10">
        <v>3</v>
      </c>
      <c r="E110" s="11">
        <f t="shared" si="6"/>
        <v>239.39999999999998</v>
      </c>
      <c r="F110" s="11" t="str" cm="1">
        <f t="array" ref="F110">Nossa_SE(D110, "Estoque Baixo", "Estoque Normal")</f>
        <v>Estoque Baixo</v>
      </c>
      <c r="G110" s="11" t="str">
        <f t="shared" si="7"/>
        <v>Estoque Baixo</v>
      </c>
      <c r="H110" s="11" cm="1">
        <f t="array" ref="H110">Nossa_MULT(C110,D110)</f>
        <v>239.39999999999998</v>
      </c>
    </row>
    <row r="111" spans="1:8" x14ac:dyDescent="0.25">
      <c r="A111" s="9" t="s">
        <v>7</v>
      </c>
      <c r="B111" s="10">
        <v>18</v>
      </c>
      <c r="C111" s="11">
        <v>85.5</v>
      </c>
      <c r="D111" s="10">
        <v>3</v>
      </c>
      <c r="E111" s="11">
        <f t="shared" si="6"/>
        <v>256.5</v>
      </c>
      <c r="F111" s="11" t="str" cm="1">
        <f t="array" ref="F111">Nossa_SE(D111, "Estoque Baixo", "Estoque Normal")</f>
        <v>Estoque Baixo</v>
      </c>
      <c r="G111" s="11" t="str">
        <f t="shared" si="7"/>
        <v>Estoque Baixo</v>
      </c>
      <c r="H111" s="11" cm="1">
        <f t="array" ref="H111">Nossa_MULT(C111,D111)</f>
        <v>256.5</v>
      </c>
    </row>
    <row r="112" spans="1:8" x14ac:dyDescent="0.25">
      <c r="A112" s="9" t="s">
        <v>9</v>
      </c>
      <c r="B112" s="10">
        <v>18</v>
      </c>
      <c r="C112" s="11">
        <v>85.5</v>
      </c>
      <c r="D112" s="10">
        <v>15</v>
      </c>
      <c r="E112" s="11">
        <f t="shared" si="6"/>
        <v>1282.5</v>
      </c>
      <c r="F112" s="11" t="str" cm="1">
        <f t="array" ref="F112">Nossa_SE(D112, "Estoque Baixo", "Estoque Normal")</f>
        <v>Estoque Baixo</v>
      </c>
      <c r="G112" s="11" t="str">
        <f t="shared" si="7"/>
        <v>Estoque Normal</v>
      </c>
      <c r="H112" s="11" cm="1">
        <f t="array" ref="H112">Nossa_MULT(C112,D112)</f>
        <v>1282.5</v>
      </c>
    </row>
    <row r="113" spans="1:8" x14ac:dyDescent="0.25">
      <c r="A113" s="9" t="s">
        <v>8</v>
      </c>
      <c r="B113" s="10">
        <v>18</v>
      </c>
      <c r="C113" s="11">
        <v>85.5</v>
      </c>
      <c r="D113" s="10">
        <v>5</v>
      </c>
      <c r="E113" s="11">
        <f t="shared" si="6"/>
        <v>427.5</v>
      </c>
      <c r="F113" s="11" t="str" cm="1">
        <f t="array" ref="F113">Nossa_SE(D113, "Estoque Baixo", "Estoque Normal")</f>
        <v>Estoque Baixo</v>
      </c>
      <c r="G113" s="11" t="str">
        <f t="shared" si="7"/>
        <v>Estoque Baixo</v>
      </c>
      <c r="H113" s="11" cm="1">
        <f t="array" ref="H113">Nossa_MULT(C113,D113)</f>
        <v>427.5</v>
      </c>
    </row>
    <row r="114" spans="1:8" x14ac:dyDescent="0.25">
      <c r="A114" s="12" t="s">
        <v>10</v>
      </c>
      <c r="B114" s="13">
        <v>18</v>
      </c>
      <c r="C114" s="14">
        <v>79.8</v>
      </c>
      <c r="D114" s="13">
        <v>2</v>
      </c>
      <c r="E114" s="11">
        <f t="shared" si="6"/>
        <v>159.6</v>
      </c>
      <c r="F114" s="11" t="str" cm="1">
        <f t="array" ref="F114">Nossa_SE(D114, "Estoque Baixo", "Estoque Normal")</f>
        <v>Estoque Baixo</v>
      </c>
      <c r="G114" s="11" t="str">
        <f t="shared" si="7"/>
        <v>Estoque Baixo</v>
      </c>
      <c r="H114" s="11" cm="1">
        <f t="array" ref="H114">Nossa_MULT(C114,D114)</f>
        <v>159.6</v>
      </c>
    </row>
    <row r="115" spans="1:8" x14ac:dyDescent="0.25">
      <c r="A115" s="12" t="s">
        <v>12</v>
      </c>
      <c r="B115" s="13">
        <v>18</v>
      </c>
      <c r="C115" s="14">
        <v>79.8</v>
      </c>
      <c r="D115" s="13">
        <v>15</v>
      </c>
      <c r="E115" s="11">
        <f t="shared" si="6"/>
        <v>1197</v>
      </c>
      <c r="F115" s="11" t="str" cm="1">
        <f t="array" ref="F115">Nossa_SE(D115, "Estoque Baixo", "Estoque Normal")</f>
        <v>Estoque Baixo</v>
      </c>
      <c r="G115" s="11" t="str">
        <f t="shared" si="7"/>
        <v>Estoque Normal</v>
      </c>
      <c r="H115" s="11" cm="1">
        <f t="array" ref="H115">Nossa_MULT(C115,D115)</f>
        <v>1197</v>
      </c>
    </row>
    <row r="116" spans="1:8" x14ac:dyDescent="0.25">
      <c r="A116" s="12" t="s">
        <v>11</v>
      </c>
      <c r="B116" s="13">
        <v>18</v>
      </c>
      <c r="C116" s="14">
        <v>79.8</v>
      </c>
      <c r="D116" s="13">
        <v>0</v>
      </c>
      <c r="E116" s="11">
        <f t="shared" si="6"/>
        <v>0</v>
      </c>
      <c r="F116" s="11" t="str" cm="1">
        <f t="array" ref="F116">Nossa_SE(D116, "Estoque Baixo", "Estoque Normal")</f>
        <v>Estoque Baixo</v>
      </c>
      <c r="G116" s="11" t="str">
        <f t="shared" si="7"/>
        <v>Estoque Baixo</v>
      </c>
      <c r="H116" s="11" cm="1">
        <f t="array" ref="H116">Nossa_MULT(C116,D116)</f>
        <v>0</v>
      </c>
    </row>
    <row r="117" spans="1:8" x14ac:dyDescent="0.25">
      <c r="A117" s="12" t="s">
        <v>7</v>
      </c>
      <c r="B117" s="13">
        <v>17</v>
      </c>
      <c r="C117" s="14">
        <v>85.5</v>
      </c>
      <c r="D117" s="13">
        <v>0</v>
      </c>
      <c r="E117" s="11">
        <f t="shared" si="6"/>
        <v>0</v>
      </c>
      <c r="F117" s="11" t="str" cm="1">
        <f t="array" ref="F117">Nossa_SE(D117, "Estoque Baixo", "Estoque Normal")</f>
        <v>Estoque Baixo</v>
      </c>
      <c r="G117" s="11" t="str">
        <f t="shared" si="7"/>
        <v>Estoque Baixo</v>
      </c>
      <c r="H117" s="11" cm="1">
        <f t="array" ref="H117">Nossa_MULT(C117,D117)</f>
        <v>0</v>
      </c>
    </row>
    <row r="118" spans="1:8" x14ac:dyDescent="0.25">
      <c r="A118" s="12" t="s">
        <v>9</v>
      </c>
      <c r="B118" s="13">
        <v>17</v>
      </c>
      <c r="C118" s="14">
        <v>85.5</v>
      </c>
      <c r="D118" s="13">
        <v>6</v>
      </c>
      <c r="E118" s="11">
        <f t="shared" si="6"/>
        <v>513</v>
      </c>
      <c r="F118" s="11" t="str" cm="1">
        <f t="array" ref="F118">Nossa_SE(D118, "Estoque Baixo", "Estoque Normal")</f>
        <v>Estoque Baixo</v>
      </c>
      <c r="G118" s="11" t="str">
        <f t="shared" si="7"/>
        <v>Estoque Baixo</v>
      </c>
      <c r="H118" s="11" cm="1">
        <f t="array" ref="H118">Nossa_MULT(C118,D118)</f>
        <v>513</v>
      </c>
    </row>
    <row r="119" spans="1:8" x14ac:dyDescent="0.25">
      <c r="A119" s="12" t="s">
        <v>8</v>
      </c>
      <c r="B119" s="13">
        <v>17</v>
      </c>
      <c r="C119" s="14">
        <v>85.5</v>
      </c>
      <c r="D119" s="13">
        <v>2</v>
      </c>
      <c r="E119" s="11">
        <f t="shared" si="6"/>
        <v>171</v>
      </c>
      <c r="F119" s="11" t="str" cm="1">
        <f t="array" ref="F119">Nossa_SE(D119, "Estoque Baixo", "Estoque Normal")</f>
        <v>Estoque Baixo</v>
      </c>
      <c r="G119" s="11" t="str">
        <f t="shared" si="7"/>
        <v>Estoque Baixo</v>
      </c>
      <c r="H119" s="11" cm="1">
        <f t="array" ref="H119">Nossa_MULT(C119,D119)</f>
        <v>171</v>
      </c>
    </row>
    <row r="120" spans="1:8" x14ac:dyDescent="0.25">
      <c r="A120" s="12" t="s">
        <v>10</v>
      </c>
      <c r="B120" s="13">
        <v>17</v>
      </c>
      <c r="C120" s="14">
        <v>79.8</v>
      </c>
      <c r="D120" s="13">
        <v>25</v>
      </c>
      <c r="E120" s="11">
        <f t="shared" si="6"/>
        <v>1995</v>
      </c>
      <c r="F120" s="11" t="str" cm="1">
        <f t="array" ref="F120">Nossa_SE(D120, "Estoque Baixo", "Estoque Normal")</f>
        <v>Estoque Baixo</v>
      </c>
      <c r="G120" s="11" t="str">
        <f t="shared" si="7"/>
        <v>Estoque Normal</v>
      </c>
      <c r="H120" s="11" cm="1">
        <f t="array" ref="H120">Nossa_MULT(C120,D120)</f>
        <v>1995</v>
      </c>
    </row>
    <row r="121" spans="1:8" x14ac:dyDescent="0.25">
      <c r="A121" s="12" t="s">
        <v>12</v>
      </c>
      <c r="B121" s="13">
        <v>17</v>
      </c>
      <c r="C121" s="14">
        <v>79.8</v>
      </c>
      <c r="D121" s="13">
        <v>17</v>
      </c>
      <c r="E121" s="11">
        <f t="shared" si="6"/>
        <v>1356.6</v>
      </c>
      <c r="F121" s="11" t="str" cm="1">
        <f t="array" ref="F121">Nossa_SE(D121, "Estoque Baixo", "Estoque Normal")</f>
        <v>Estoque Baixo</v>
      </c>
      <c r="G121" s="11" t="str">
        <f t="shared" si="7"/>
        <v>Estoque Normal</v>
      </c>
      <c r="H121" s="11" cm="1">
        <f t="array" ref="H121">Nossa_MULT(C121,D121)</f>
        <v>1356.6</v>
      </c>
    </row>
    <row r="122" spans="1:8" ht="15.75" thickBot="1" x14ac:dyDescent="0.3">
      <c r="A122" s="12" t="s">
        <v>11</v>
      </c>
      <c r="B122" s="13">
        <v>17</v>
      </c>
      <c r="C122" s="14">
        <v>79.8</v>
      </c>
      <c r="D122" s="13">
        <v>15</v>
      </c>
      <c r="E122" s="11">
        <f t="shared" si="6"/>
        <v>1197</v>
      </c>
      <c r="F122" s="11" t="str" cm="1">
        <f t="array" ref="F122">Nossa_SE(D122, "Estoque Baixo", "Estoque Normal")</f>
        <v>Estoque Baixo</v>
      </c>
      <c r="G122" s="11" t="str">
        <f t="shared" si="7"/>
        <v>Estoque Normal</v>
      </c>
      <c r="H122" s="11" cm="1">
        <f t="array" ref="H122">Nossa_MULT(C122,D122)</f>
        <v>1197</v>
      </c>
    </row>
    <row r="123" spans="1:8" s="8" customFormat="1" ht="19.5" thickBot="1" x14ac:dyDescent="0.35">
      <c r="A123" s="26" t="s">
        <v>18</v>
      </c>
      <c r="B123" s="27"/>
      <c r="C123" s="27"/>
      <c r="D123" s="28"/>
      <c r="E123" s="19" cm="1">
        <f t="array" ref="E123">Nossa_Maximo(E3:E122)</f>
        <v>2998.8</v>
      </c>
      <c r="F123" s="7"/>
      <c r="G123" s="7"/>
      <c r="H123" s="7"/>
    </row>
    <row r="124" spans="1:8" s="8" customFormat="1" ht="19.5" thickBot="1" x14ac:dyDescent="0.35">
      <c r="A124" s="20"/>
      <c r="B124" s="21"/>
      <c r="C124" s="21"/>
      <c r="D124" s="22" t="s">
        <v>10</v>
      </c>
      <c r="E124" s="19" cm="1">
        <f t="array" ref="E124">nossa_maximoses(E3:E122,A3:A122,D124,F3:F122,"Estoque Normal")</f>
        <v>2998.8</v>
      </c>
      <c r="F124" s="7"/>
      <c r="G124" s="7"/>
      <c r="H124" s="7"/>
    </row>
    <row r="125" spans="1:8" s="8" customFormat="1" ht="19.5" thickBot="1" x14ac:dyDescent="0.35">
      <c r="A125" s="6"/>
      <c r="B125" s="4" t="s">
        <v>2</v>
      </c>
      <c r="C125" s="7">
        <f>SUM(C3:C122)</f>
        <v>10136.399999999998</v>
      </c>
      <c r="D125" s="5">
        <f>SUM(D3:D122)</f>
        <v>1273</v>
      </c>
      <c r="E125" s="7">
        <f>SUM(E3:E124)</f>
        <v>113421.80000000002</v>
      </c>
      <c r="F125" s="7"/>
      <c r="G125" s="7"/>
      <c r="H125" s="7"/>
    </row>
  </sheetData>
  <sortState xmlns:xlrd2="http://schemas.microsoft.com/office/spreadsheetml/2017/richdata2" ref="A3:E122">
    <sortCondition descending="1" ref="B3:B122"/>
  </sortState>
  <mergeCells count="2">
    <mergeCell ref="A1:H1"/>
    <mergeCell ref="A123:D123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alcular_Planilha">
                <anchor moveWithCells="1" sizeWithCells="1">
                  <from>
                    <xdr:col>0</xdr:col>
                    <xdr:colOff>1581150</xdr:colOff>
                    <xdr:row>123</xdr:row>
                    <xdr:rowOff>9525</xdr:rowOff>
                  </from>
                  <to>
                    <xdr:col>1</xdr:col>
                    <xdr:colOff>581025</xdr:colOff>
                    <xdr:row>123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B4B033-CB3C-4379-986D-E6E745AE45D4}">
  <sheetPr codeName="Planilha2"/>
  <dimension ref="A1:D7"/>
  <sheetViews>
    <sheetView zoomScale="160" zoomScaleNormal="160" workbookViewId="0">
      <selection activeCell="D4" sqref="D4"/>
    </sheetView>
  </sheetViews>
  <sheetFormatPr defaultRowHeight="15" x14ac:dyDescent="0.25"/>
  <cols>
    <col min="1" max="1" width="37.140625" customWidth="1"/>
    <col min="2" max="2" width="18.5703125" customWidth="1"/>
  </cols>
  <sheetData>
    <row r="1" spans="1:4" ht="16.5" thickBot="1" x14ac:dyDescent="0.3">
      <c r="A1" s="2" t="s">
        <v>14</v>
      </c>
      <c r="B1" s="2" t="s">
        <v>13</v>
      </c>
    </row>
    <row r="2" spans="1:4" x14ac:dyDescent="0.25">
      <c r="A2" s="9" t="s">
        <v>7</v>
      </c>
      <c r="B2" s="16">
        <f>_xlfn.MAXIFS('Produtos Infantis'!$C$3:$C$122,'Produtos Infantis'!$A$3:$A$122,Dados!A2)</f>
        <v>95</v>
      </c>
    </row>
    <row r="3" spans="1:4" x14ac:dyDescent="0.25">
      <c r="A3" s="9" t="s">
        <v>9</v>
      </c>
      <c r="B3" s="16">
        <f>_xlfn.MAXIFS('Produtos Infantis'!$C$3:$C$122,'Produtos Infantis'!$A$3:$A$122,Dados!A3)</f>
        <v>89.9</v>
      </c>
    </row>
    <row r="4" spans="1:4" x14ac:dyDescent="0.25">
      <c r="A4" s="9" t="s">
        <v>8</v>
      </c>
      <c r="B4" s="16">
        <f>_xlfn.MAXIFS('Produtos Infantis'!$C$3:$C$122,'Produtos Infantis'!$A$3:$A$122,Dados!A4)</f>
        <v>89.9</v>
      </c>
      <c r="D4" s="18"/>
    </row>
    <row r="5" spans="1:4" x14ac:dyDescent="0.25">
      <c r="A5" s="9" t="s">
        <v>10</v>
      </c>
      <c r="B5" s="16">
        <f>_xlfn.MAXIFS('Produtos Infantis'!$C$3:$C$122,'Produtos Infantis'!$A$3:$A$122,Dados!A5)</f>
        <v>83.3</v>
      </c>
    </row>
    <row r="6" spans="1:4" x14ac:dyDescent="0.25">
      <c r="A6" s="9" t="s">
        <v>12</v>
      </c>
      <c r="B6" s="16">
        <f>_xlfn.MAXIFS('Produtos Infantis'!$C$3:$C$122,'Produtos Infantis'!$A$3:$A$122,Dados!A6)</f>
        <v>83.3</v>
      </c>
    </row>
    <row r="7" spans="1:4" ht="15.75" thickBot="1" x14ac:dyDescent="0.3">
      <c r="A7" s="15" t="s">
        <v>11</v>
      </c>
      <c r="B7" s="17">
        <f>_xlfn.MAXIFS('Produtos Infantis'!$C$3:$C$122,'Produtos Infantis'!$A$3:$A$122,Dados!A7)</f>
        <v>83.3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556B0A36441F0D4DAD3991578DF7F2F0" ma:contentTypeVersion="2" ma:contentTypeDescription="Crie um novo documento." ma:contentTypeScope="" ma:versionID="6c6e6258760dad3603c3cb7b128f81a1">
  <xsd:schema xmlns:xsd="http://www.w3.org/2001/XMLSchema" xmlns:xs="http://www.w3.org/2001/XMLSchema" xmlns:p="http://schemas.microsoft.com/office/2006/metadata/properties" xmlns:ns2="4f05b7ab-9a2f-41ed-818c-74617ab702a7" targetNamespace="http://schemas.microsoft.com/office/2006/metadata/properties" ma:root="true" ma:fieldsID="f3b913dd5064d0f0b076b917040d2755" ns2:_="">
    <xsd:import namespace="4f05b7ab-9a2f-41ed-818c-74617ab702a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f05b7ab-9a2f-41ed-818c-74617ab702a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6532B985-62A0-40C3-80FB-10F7800C6D5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f05b7ab-9a2f-41ed-818c-74617ab702a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8A6A681B-EAE6-444A-9308-0F06C7B9DF6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B15AD1B-EF95-4834-BB47-8F41B7FD6995}">
  <ds:schemaRefs>
    <ds:schemaRef ds:uri="http://purl.org/dc/elements/1.1/"/>
    <ds:schemaRef ds:uri="http://purl.org/dc/terms/"/>
    <ds:schemaRef ds:uri="http://schemas.microsoft.com/office/2006/documentManagement/types"/>
    <ds:schemaRef ds:uri="http://schemas.microsoft.com/office/2006/metadata/properties"/>
    <ds:schemaRef ds:uri="http://purl.org/dc/dcmitype/"/>
    <ds:schemaRef ds:uri="http://schemas.microsoft.com/office/infopath/2007/PartnerControls"/>
    <ds:schemaRef ds:uri="http://www.w3.org/XML/1998/namespace"/>
    <ds:schemaRef ds:uri="http://schemas.openxmlformats.org/package/2006/metadata/core-properties"/>
    <ds:schemaRef ds:uri="4f05b7ab-9a2f-41ed-818c-74617ab702a7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Produtos Infantis</vt:lpstr>
      <vt:lpstr>Dados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PinkStudio</dc:creator>
  <cp:lastModifiedBy>Roberto Sabino</cp:lastModifiedBy>
  <cp:lastPrinted>2019-10-11T14:32:55Z</cp:lastPrinted>
  <dcterms:created xsi:type="dcterms:W3CDTF">2019-10-09T14:30:21Z</dcterms:created>
  <dcterms:modified xsi:type="dcterms:W3CDTF">2021-01-13T04:02:00Z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0x010100556B0A36441F0D4DAD3991578DF7F2F0</vt:lpwstr>
  </property>
  <property fmtid="{D5CDD505-2E9C-101B-9397-08002B2CF9AE}" pid="3" name="ComplianceAssetId">
    <vt:lpwstr/>
  </property>
</Properties>
</file>